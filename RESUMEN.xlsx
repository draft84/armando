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mando\OneDrive\Escritorio\ALEX58\INVENTARIOYTRAZABILIDAD\"/>
    </mc:Choice>
  </mc:AlternateContent>
  <xr:revisionPtr revIDLastSave="0" documentId="13_ncr:1_{AA432210-568A-44E2-911F-F71A423DA3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men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  <c r="J31" i="1" l="1"/>
  <c r="I31" i="1"/>
  <c r="K31" i="1" l="1"/>
  <c r="J44" i="1"/>
  <c r="I44" i="1"/>
  <c r="J43" i="1"/>
  <c r="I43" i="1"/>
  <c r="J42" i="1"/>
  <c r="I42" i="1"/>
  <c r="J41" i="1"/>
  <c r="I41" i="1"/>
  <c r="K41" i="1" l="1"/>
  <c r="K42" i="1"/>
  <c r="K43" i="1"/>
  <c r="K44" i="1"/>
  <c r="I6" i="1"/>
  <c r="I19" i="1"/>
  <c r="I8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2" i="1"/>
  <c r="J33" i="1"/>
  <c r="J34" i="1"/>
  <c r="J35" i="1"/>
  <c r="J36" i="1"/>
  <c r="J38" i="1"/>
  <c r="J39" i="1"/>
  <c r="J40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I7" i="1"/>
  <c r="I9" i="1"/>
  <c r="I10" i="1"/>
  <c r="I11" i="1"/>
  <c r="I12" i="1"/>
  <c r="I13" i="1"/>
  <c r="I14" i="1"/>
  <c r="I15" i="1"/>
  <c r="I16" i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K11" i="1" l="1"/>
  <c r="K13" i="1"/>
  <c r="K23" i="1"/>
  <c r="K54" i="1"/>
  <c r="K38" i="1"/>
  <c r="K66" i="1"/>
  <c r="K36" i="1"/>
  <c r="K90" i="1"/>
  <c r="K143" i="1"/>
  <c r="K83" i="1"/>
  <c r="K131" i="1"/>
  <c r="K126" i="1"/>
  <c r="K114" i="1"/>
  <c r="K102" i="1"/>
  <c r="K78" i="1"/>
  <c r="K119" i="1"/>
  <c r="K120" i="1"/>
  <c r="K108" i="1"/>
  <c r="K96" i="1"/>
  <c r="K84" i="1"/>
  <c r="K72" i="1"/>
  <c r="K60" i="1"/>
  <c r="K48" i="1"/>
  <c r="K32" i="1"/>
  <c r="K148" i="1"/>
  <c r="K136" i="1"/>
  <c r="K124" i="1"/>
  <c r="K112" i="1"/>
  <c r="K100" i="1"/>
  <c r="K88" i="1"/>
  <c r="K76" i="1"/>
  <c r="K64" i="1"/>
  <c r="K52" i="1"/>
  <c r="K47" i="1"/>
  <c r="K122" i="1"/>
  <c r="K110" i="1"/>
  <c r="K98" i="1"/>
  <c r="K86" i="1"/>
  <c r="K74" i="1"/>
  <c r="K62" i="1"/>
  <c r="K50" i="1"/>
  <c r="K34" i="1"/>
  <c r="K21" i="1"/>
  <c r="K7" i="1"/>
  <c r="K138" i="1"/>
  <c r="K147" i="1"/>
  <c r="K135" i="1"/>
  <c r="K123" i="1"/>
  <c r="K111" i="1"/>
  <c r="K99" i="1"/>
  <c r="K87" i="1"/>
  <c r="K75" i="1"/>
  <c r="K63" i="1"/>
  <c r="K51" i="1"/>
  <c r="K35" i="1"/>
  <c r="K134" i="1"/>
  <c r="K97" i="1"/>
  <c r="K85" i="1"/>
  <c r="K73" i="1"/>
  <c r="K61" i="1"/>
  <c r="K49" i="1"/>
  <c r="K33" i="1"/>
  <c r="K20" i="1"/>
  <c r="K146" i="1"/>
  <c r="K18" i="1"/>
  <c r="K22" i="1"/>
  <c r="K14" i="1"/>
  <c r="K12" i="1"/>
  <c r="K101" i="1"/>
  <c r="K89" i="1"/>
  <c r="K77" i="1"/>
  <c r="K65" i="1"/>
  <c r="K53" i="1"/>
  <c r="K24" i="1"/>
  <c r="K137" i="1"/>
  <c r="K113" i="1"/>
  <c r="K10" i="1"/>
  <c r="K8" i="1"/>
  <c r="K19" i="1"/>
  <c r="K6" i="1"/>
  <c r="K93" i="1"/>
  <c r="K128" i="1"/>
  <c r="K92" i="1"/>
  <c r="K68" i="1"/>
  <c r="K40" i="1"/>
  <c r="K139" i="1"/>
  <c r="K127" i="1"/>
  <c r="K115" i="1"/>
  <c r="K103" i="1"/>
  <c r="K91" i="1"/>
  <c r="K79" i="1"/>
  <c r="K67" i="1"/>
  <c r="K55" i="1"/>
  <c r="K39" i="1"/>
  <c r="K26" i="1"/>
  <c r="K130" i="1"/>
  <c r="K118" i="1"/>
  <c r="K106" i="1"/>
  <c r="K94" i="1"/>
  <c r="K82" i="1"/>
  <c r="K70" i="1"/>
  <c r="K58" i="1"/>
  <c r="K46" i="1"/>
  <c r="K29" i="1"/>
  <c r="K142" i="1"/>
  <c r="K16" i="1"/>
  <c r="K105" i="1"/>
  <c r="K81" i="1"/>
  <c r="K69" i="1"/>
  <c r="K57" i="1"/>
  <c r="K45" i="1"/>
  <c r="K28" i="1"/>
  <c r="K116" i="1"/>
  <c r="K104" i="1"/>
  <c r="K80" i="1"/>
  <c r="K56" i="1"/>
  <c r="K27" i="1"/>
  <c r="K15" i="1"/>
  <c r="K107" i="1"/>
  <c r="K95" i="1"/>
  <c r="K71" i="1"/>
  <c r="K59" i="1"/>
  <c r="K30" i="1"/>
  <c r="K117" i="1"/>
  <c r="K145" i="1"/>
  <c r="K144" i="1"/>
  <c r="K140" i="1"/>
  <c r="K132" i="1"/>
  <c r="K129" i="1"/>
  <c r="K121" i="1"/>
  <c r="K109" i="1"/>
  <c r="K149" i="1"/>
  <c r="K141" i="1"/>
  <c r="K133" i="1"/>
  <c r="K125" i="1"/>
  <c r="K25" i="1"/>
  <c r="K17" i="1"/>
  <c r="K9" i="1"/>
  <c r="J37" i="1" l="1"/>
  <c r="K37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<sst xmlns="http://schemas.openxmlformats.org/spreadsheetml/2006/main" count="1308" uniqueCount="301">
  <si>
    <t>INVENTARIO DE PRODUCTOS CONGELADOS</t>
  </si>
  <si>
    <t xml:space="preserve"> </t>
  </si>
  <si>
    <t>DEPARTAMENTO DE PRODUCCION</t>
  </si>
  <si>
    <t>ITEM</t>
  </si>
  <si>
    <t xml:space="preserve">CODIGO </t>
  </si>
  <si>
    <t>ESPECIE</t>
  </si>
  <si>
    <t>PRODUCTO</t>
  </si>
  <si>
    <t>CALIDAD</t>
  </si>
  <si>
    <t>ESTADO</t>
  </si>
  <si>
    <t>TALLA</t>
  </si>
  <si>
    <t>EMPAQUE</t>
  </si>
  <si>
    <t>INGRESOS</t>
  </si>
  <si>
    <t>SALIDAS</t>
  </si>
  <si>
    <t>STOCK</t>
  </si>
  <si>
    <t>LB</t>
  </si>
  <si>
    <t>010102011303</t>
  </si>
  <si>
    <t xml:space="preserve">ATUN </t>
  </si>
  <si>
    <t>ENTERO SIN VISCERAS, SIN AGALLAS</t>
  </si>
  <si>
    <t>INDUSTRIAL</t>
  </si>
  <si>
    <t>IQF</t>
  </si>
  <si>
    <t>20/30</t>
  </si>
  <si>
    <t>GRANEL</t>
  </si>
  <si>
    <t>010102011403</t>
  </si>
  <si>
    <t>30/40</t>
  </si>
  <si>
    <t>010102011503</t>
  </si>
  <si>
    <t>40/60</t>
  </si>
  <si>
    <t>010102011603</t>
  </si>
  <si>
    <t>60/80</t>
  </si>
  <si>
    <t>010102011703</t>
  </si>
  <si>
    <t>80/UP</t>
  </si>
  <si>
    <t>010302011303</t>
  </si>
  <si>
    <t>TRONCO SIN CABEZA, SIN COLA, HGT</t>
  </si>
  <si>
    <t>010302011403</t>
  </si>
  <si>
    <t>010302011503</t>
  </si>
  <si>
    <t>010302011603</t>
  </si>
  <si>
    <t>010302011703</t>
  </si>
  <si>
    <t>010402060201</t>
  </si>
  <si>
    <t>LOMO SIN PIEL, NATURAL</t>
  </si>
  <si>
    <t>A</t>
  </si>
  <si>
    <t>IQF, IVP</t>
  </si>
  <si>
    <t>1/3</t>
  </si>
  <si>
    <t>CAJAS, PESO LIBRE</t>
  </si>
  <si>
    <t>010402060301</t>
  </si>
  <si>
    <t>3/5</t>
  </si>
  <si>
    <t>010402060401</t>
  </si>
  <si>
    <t>5/8</t>
  </si>
  <si>
    <t>010402060601</t>
  </si>
  <si>
    <t>8/UP</t>
  </si>
  <si>
    <t>010401060201</t>
  </si>
  <si>
    <t>PREMIUN</t>
  </si>
  <si>
    <t>010401060301</t>
  </si>
  <si>
    <t>010401060401</t>
  </si>
  <si>
    <t>010401060601</t>
  </si>
  <si>
    <t>010502060804</t>
  </si>
  <si>
    <t>PORCIONES SIN PIEL, NATURAL</t>
  </si>
  <si>
    <t>4 OZ</t>
  </si>
  <si>
    <t>010502060904</t>
  </si>
  <si>
    <t>6 OZ</t>
  </si>
  <si>
    <t>010502061004</t>
  </si>
  <si>
    <t>8 OZ</t>
  </si>
  <si>
    <t>010502061104</t>
  </si>
  <si>
    <t>10 OZ</t>
  </si>
  <si>
    <t>010602060701</t>
  </si>
  <si>
    <t>TROCITOS NATURAL</t>
  </si>
  <si>
    <t>B 2024</t>
  </si>
  <si>
    <t>2/4 OZ</t>
  </si>
  <si>
    <t>010702060101</t>
  </si>
  <si>
    <t>CARNE MOLIDA, NATURAL</t>
  </si>
  <si>
    <t>SIN TALLA</t>
  </si>
  <si>
    <t>010802060101</t>
  </si>
  <si>
    <t>VENTRESCA CON PIEL, NATURAL</t>
  </si>
  <si>
    <t>010803060101</t>
  </si>
  <si>
    <t>010903060201</t>
  </si>
  <si>
    <t>LOMO SIN PIEL, CON CO</t>
  </si>
  <si>
    <t>010903060301</t>
  </si>
  <si>
    <t>010903060401</t>
  </si>
  <si>
    <t>010903060601</t>
  </si>
  <si>
    <t>010904060201</t>
  </si>
  <si>
    <t>B</t>
  </si>
  <si>
    <t>010904060301</t>
  </si>
  <si>
    <t>010904060401</t>
  </si>
  <si>
    <t>010904060601</t>
  </si>
  <si>
    <t>011101060101</t>
  </si>
  <si>
    <t>TROCITOS CON CO DE PRODUCCION</t>
  </si>
  <si>
    <t>1 A 2 OZ</t>
  </si>
  <si>
    <t>010910060201</t>
  </si>
  <si>
    <t>010910060301</t>
  </si>
  <si>
    <t>010910060401</t>
  </si>
  <si>
    <t>010910060601</t>
  </si>
  <si>
    <t>010909060201</t>
  </si>
  <si>
    <t>C</t>
  </si>
  <si>
    <t>010909060301</t>
  </si>
  <si>
    <t>010909060401</t>
  </si>
  <si>
    <t>010909060601</t>
  </si>
  <si>
    <t>8UP</t>
  </si>
  <si>
    <t>011004072201</t>
  </si>
  <si>
    <t>PORCIONES SIN PIEL, CON CO</t>
  </si>
  <si>
    <t>150gr</t>
  </si>
  <si>
    <t>011004073701</t>
  </si>
  <si>
    <t>125 gr</t>
  </si>
  <si>
    <t>011004071901</t>
  </si>
  <si>
    <t>6/8</t>
  </si>
  <si>
    <t>011004070501</t>
  </si>
  <si>
    <t>8/10</t>
  </si>
  <si>
    <t>011604071901</t>
  </si>
  <si>
    <t xml:space="preserve">FAMILY PACK </t>
  </si>
  <si>
    <t>2 a 4 oz</t>
  </si>
  <si>
    <t>011103060101</t>
  </si>
  <si>
    <t>TROCITOS CON CO DE PORCIONES</t>
  </si>
  <si>
    <t>011203060101</t>
  </si>
  <si>
    <t>CARNE MOLIDA, CON CO</t>
  </si>
  <si>
    <t>021302012501</t>
  </si>
  <si>
    <t>LENGUADO</t>
  </si>
  <si>
    <t>FILETE SIN PIEL, SIN ESPINAS</t>
  </si>
  <si>
    <t>020102010101</t>
  </si>
  <si>
    <t>ENTERO CON VISCERAS, CON AGALLAS</t>
  </si>
  <si>
    <t>1-2 lb</t>
  </si>
  <si>
    <t>020202072701</t>
  </si>
  <si>
    <t>TRONCO SIN CABEZA, HG</t>
  </si>
  <si>
    <t>IQF, IWP</t>
  </si>
  <si>
    <t>200 A 500 GR</t>
  </si>
  <si>
    <t>031502010101</t>
  </si>
  <si>
    <t>SIERRA</t>
  </si>
  <si>
    <t>ENTERO CON VISCERAS</t>
  </si>
  <si>
    <t>050202013202</t>
  </si>
  <si>
    <t>CONGRIO</t>
  </si>
  <si>
    <t>2 A 4 KG</t>
  </si>
  <si>
    <t>051302070101</t>
  </si>
  <si>
    <t>FILETE SIN PIEL, SIN ESPINAS NAT</t>
  </si>
  <si>
    <t>051302090201</t>
  </si>
  <si>
    <t>FILETE SIN PIEL, SIN ESPINAS, "CO"</t>
  </si>
  <si>
    <t>IQF, IVP, CO</t>
  </si>
  <si>
    <t>1- 3 LB</t>
  </si>
  <si>
    <t>051302090301</t>
  </si>
  <si>
    <t>3 - 5 LB</t>
  </si>
  <si>
    <t>051002092201</t>
  </si>
  <si>
    <t>150 GR</t>
  </si>
  <si>
    <t>131302090201</t>
  </si>
  <si>
    <t>SHERNA ROJA</t>
  </si>
  <si>
    <t>161302060201</t>
  </si>
  <si>
    <t>SHERNA NEGRA</t>
  </si>
  <si>
    <t>141302090201</t>
  </si>
  <si>
    <t>CORVINA AMARILLA</t>
  </si>
  <si>
    <t>141302090301</t>
  </si>
  <si>
    <t>141302090401</t>
  </si>
  <si>
    <t xml:space="preserve">5 - 8 LB </t>
  </si>
  <si>
    <t>141002093601</t>
  </si>
  <si>
    <t>6  a 8 oz</t>
  </si>
  <si>
    <t>141002093501</t>
  </si>
  <si>
    <t>4 a 6 oz</t>
  </si>
  <si>
    <t>151302093001</t>
  </si>
  <si>
    <t>CORVINA "V"</t>
  </si>
  <si>
    <t>2 A 10 OZ</t>
  </si>
  <si>
    <t>151302013001</t>
  </si>
  <si>
    <t>FILETE SIN PIEL, SIN ESPINAS, "NAT"</t>
  </si>
  <si>
    <t>4 a 10 oz</t>
  </si>
  <si>
    <t>191802091801</t>
  </si>
  <si>
    <t>CORVINA LONA</t>
  </si>
  <si>
    <t>FILETE CON PIEL, SIN ESPINAS, "CO"</t>
  </si>
  <si>
    <t>4 A 6 OZ</t>
  </si>
  <si>
    <t>191802091901</t>
  </si>
  <si>
    <t>6 A 8 OZ</t>
  </si>
  <si>
    <t>191802092901</t>
  </si>
  <si>
    <t>1/2 A 1 LB</t>
  </si>
  <si>
    <t>041402062801</t>
  </si>
  <si>
    <t>PARGO MANCHA</t>
  </si>
  <si>
    <t>FILETE CON PIEL, SIN ESPINAS</t>
  </si>
  <si>
    <t>150 A 500 GR</t>
  </si>
  <si>
    <t>041402010701</t>
  </si>
  <si>
    <t>2 A 4 OZ</t>
  </si>
  <si>
    <t>041402092101</t>
  </si>
  <si>
    <t>0,1 A 2 OZ</t>
  </si>
  <si>
    <t>041402090701</t>
  </si>
  <si>
    <t>041402091801</t>
  </si>
  <si>
    <t>041402091901</t>
  </si>
  <si>
    <t>041802092901</t>
  </si>
  <si>
    <t>041802093301</t>
  </si>
  <si>
    <t>1 A 2 LB</t>
  </si>
  <si>
    <t>041302092801</t>
  </si>
  <si>
    <t>040102072401</t>
  </si>
  <si>
    <t>Entero s/v, s/a, sin escamas GGS NATURAL</t>
  </si>
  <si>
    <t>0,9 a 1,4 lb</t>
  </si>
  <si>
    <t>041902072901</t>
  </si>
  <si>
    <t>Entero s/v, s/a, sin escamas GGS TRATADO</t>
  </si>
  <si>
    <t>041502072301</t>
  </si>
  <si>
    <t>Entero s/v. C/a, con escamas</t>
  </si>
  <si>
    <t>3/4 a 1,1 lb</t>
  </si>
  <si>
    <t>041502072901</t>
  </si>
  <si>
    <t>0,5 A 1 LB</t>
  </si>
  <si>
    <t>041502073301</t>
  </si>
  <si>
    <t>041502073801</t>
  </si>
  <si>
    <t>2 a 4 LB</t>
  </si>
  <si>
    <t>042002073301</t>
  </si>
  <si>
    <t>Entero s/v. C/a, con escamas + CO</t>
  </si>
  <si>
    <t>042002073801</t>
  </si>
  <si>
    <t>091402062701</t>
  </si>
  <si>
    <t>PARGO SEDA</t>
  </si>
  <si>
    <t>090102072401</t>
  </si>
  <si>
    <t>Entero s/v, s/a, sin escamas GGS</t>
  </si>
  <si>
    <t>091502073301</t>
  </si>
  <si>
    <t>091502073401</t>
  </si>
  <si>
    <t>091502013101</t>
  </si>
  <si>
    <t>4 A 6 LB</t>
  </si>
  <si>
    <t>091502013201</t>
  </si>
  <si>
    <t>6 UP LB</t>
  </si>
  <si>
    <t>092002072901</t>
  </si>
  <si>
    <t>092002073301</t>
  </si>
  <si>
    <t>092002073801</t>
  </si>
  <si>
    <t>091802062901</t>
  </si>
  <si>
    <t>091802063301</t>
  </si>
  <si>
    <t>091802063801</t>
  </si>
  <si>
    <t>091802062001</t>
  </si>
  <si>
    <t>0 A 2 OZ</t>
  </si>
  <si>
    <t>091802060701</t>
  </si>
  <si>
    <t>2-4 OZ</t>
  </si>
  <si>
    <t>091802061801</t>
  </si>
  <si>
    <t>4-6 OZ</t>
  </si>
  <si>
    <t>091802061901</t>
  </si>
  <si>
    <t>6-8 OZ</t>
  </si>
  <si>
    <t>121502010101</t>
  </si>
  <si>
    <t>PARGO ACHOTILLO</t>
  </si>
  <si>
    <t>121802092901</t>
  </si>
  <si>
    <t>121802093301</t>
  </si>
  <si>
    <t>121802093801</t>
  </si>
  <si>
    <t>2 a 4 lb</t>
  </si>
  <si>
    <t>121802093101</t>
  </si>
  <si>
    <t>4 a 6 lb</t>
  </si>
  <si>
    <t>181802063301</t>
  </si>
  <si>
    <t>PARGO DIENTON</t>
  </si>
  <si>
    <t>181802063801</t>
  </si>
  <si>
    <t>181802063101</t>
  </si>
  <si>
    <t>181802063901</t>
  </si>
  <si>
    <t>6 A 8 lb</t>
  </si>
  <si>
    <t>101302012601</t>
  </si>
  <si>
    <t>PARGO BLANCO</t>
  </si>
  <si>
    <t>100 A 200 GR</t>
  </si>
  <si>
    <t>101402012601</t>
  </si>
  <si>
    <t>101002062001</t>
  </si>
  <si>
    <t>101002060701</t>
  </si>
  <si>
    <t>101002061801</t>
  </si>
  <si>
    <t>101002061901</t>
  </si>
  <si>
    <t>101002062901</t>
  </si>
  <si>
    <t>100102072401</t>
  </si>
  <si>
    <t>101902072901</t>
  </si>
  <si>
    <t>Entero s/v, s/a, sin escamas GGS + "CO"</t>
  </si>
  <si>
    <t>102002073301</t>
  </si>
  <si>
    <t>172002073301</t>
  </si>
  <si>
    <t>PARGO AMARILLO</t>
  </si>
  <si>
    <t>172002073801</t>
  </si>
  <si>
    <t>171802092901</t>
  </si>
  <si>
    <t>071502070101</t>
  </si>
  <si>
    <t>PULPO</t>
  </si>
  <si>
    <t>081302070101</t>
  </si>
  <si>
    <t>MAHI MAHI</t>
  </si>
  <si>
    <t>081402070101</t>
  </si>
  <si>
    <t xml:space="preserve">FILETE CON PIEL, SIN ESPINAS </t>
  </si>
  <si>
    <t>081402070201</t>
  </si>
  <si>
    <t>FILETE CON PIEL, SIN ESPINAS CO</t>
  </si>
  <si>
    <t>1 A 3 LB</t>
  </si>
  <si>
    <t>081402070301</t>
  </si>
  <si>
    <t>3 A 5 LB</t>
  </si>
  <si>
    <t>081402070401</t>
  </si>
  <si>
    <t>5 A 8 LB</t>
  </si>
  <si>
    <t>081702070101</t>
  </si>
  <si>
    <t>FLECHA, FILETE SIN PIEL, SIN ESPINAS</t>
  </si>
  <si>
    <t>080503072001</t>
  </si>
  <si>
    <t>BUFFET PORCIONES NATURALES</t>
  </si>
  <si>
    <t>1/2 OZ</t>
  </si>
  <si>
    <t>080503070701</t>
  </si>
  <si>
    <t>080503070801</t>
  </si>
  <si>
    <t>PORCIONES NATURALES</t>
  </si>
  <si>
    <t>4</t>
  </si>
  <si>
    <t>080503070901</t>
  </si>
  <si>
    <t>6</t>
  </si>
  <si>
    <t>080503071001</t>
  </si>
  <si>
    <t>8</t>
  </si>
  <si>
    <t>081602060701</t>
  </si>
  <si>
    <t>081103072101</t>
  </si>
  <si>
    <t xml:space="preserve">TROCITOS SIN PIEL </t>
  </si>
  <si>
    <t>0/1.9 OZ</t>
  </si>
  <si>
    <t>082102010101</t>
  </si>
  <si>
    <t>CABEZAS SIN AGALLAS, IQF</t>
  </si>
  <si>
    <t>111302060101</t>
  </si>
  <si>
    <t>BERRUGATE</t>
  </si>
  <si>
    <t>202202034101</t>
  </si>
  <si>
    <t>GELPACK</t>
  </si>
  <si>
    <t xml:space="preserve">GEL CONGELADO, SELLADO </t>
  </si>
  <si>
    <t>BLOCK</t>
  </si>
  <si>
    <t>4 LB</t>
  </si>
  <si>
    <t>202202034001</t>
  </si>
  <si>
    <t>1 LB</t>
  </si>
  <si>
    <t>Observacion organoleptica Actual</t>
  </si>
  <si>
    <t>Oxidacion superficial en cortes. Olor rancio leve. Musculo interno en condicion normal</t>
  </si>
  <si>
    <t>PENDIENTE REVISION</t>
  </si>
  <si>
    <t>Sin alteraciones organolepticas, color, olor y textura caracteristicos</t>
  </si>
  <si>
    <t>Textura ligeramente débil. Leve desgarro superficial. Pérdida leve de brillo en superficie.</t>
  </si>
  <si>
    <t>Producto sin registros de proceso ni control de calidad.  Coloracion pálida respecto a estándar.  Alguna unidades sin vacio</t>
  </si>
  <si>
    <t xml:space="preserve">Coloración marrón generalizada. Textura pajosa con pérdida marcada de estructura muscular. Presencia de exudado excesivo. </t>
  </si>
  <si>
    <t xml:space="preserve"> Evidente desnaturalización proteica y oxidación avanzada. Producto no apto para consumo humano.</t>
  </si>
  <si>
    <t>Producto sin registros de proceso ni control de calidad.  Natural.  Alguna unidades sin vacio, quemaduras parcial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</si>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</sst>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Aptos Narrow"/>
      <family val="2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b/>
      <i/>
      <sz val="12"/>
      <color rgb="FF000000"/>
      <name val="Aptos Narrow"/>
      <family val="2"/>
    </font>
    <font>
      <sz val="12"/>
      <name val="Aptos Narrow"/>
      <family val="2"/>
    </font>
    <font>
      <sz val="12"/>
      <color rgb="FFFF0000"/>
      <name val="Aptos Narrow"/>
      <family val="2"/>
    </font>
    <font>
      <sz val="12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C4D79B"/>
      </top>
      <bottom style="thin">
        <color rgb="FFC4D79B"/>
      </bottom>
      <diagonal/>
    </border>
    <border>
      <left/>
      <right style="thin">
        <color rgb="FFC4D79B"/>
      </right>
      <top style="thin">
        <color rgb="FFC4D79B"/>
      </top>
      <bottom style="thin">
        <color rgb="FFC4D79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44">
    <xf numFmtId="0" fontId="0" fillId="0" borderId="0" xfId="0"/>
    <xf numFmtId="0" fontId="3" fillId="2" borderId="1" xfId="0" applyFont="1" applyFill="1" applyBorder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1" fontId="4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4" fontId="8" fillId="0" borderId="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4" fontId="8" fillId="0" borderId="2" xfId="0" applyNumberFormat="1" applyFont="1" applyBorder="1" applyAlignment="1">
      <alignment horizontal="center" wrapText="1"/>
    </xf>
    <xf numFmtId="0" fontId="6" fillId="0" borderId="0" xfId="0" applyFont="1" applyAlignment="1">
      <alignment horizontal="centerContinuous"/>
    </xf>
    <xf numFmtId="49" fontId="4" fillId="0" borderId="0" xfId="0" applyNumberFormat="1" applyFont="1" applyAlignment="1">
      <alignment horizontal="centerContinuous"/>
    </xf>
    <xf numFmtId="0" fontId="5" fillId="0" borderId="0" xfId="0" applyFont="1" applyAlignment="1">
      <alignment horizontal="centerContinuous"/>
    </xf>
    <xf numFmtId="4" fontId="9" fillId="0" borderId="2" xfId="0" applyNumberFormat="1" applyFont="1" applyBorder="1" applyAlignment="1">
      <alignment horizontal="center" wrapText="1"/>
    </xf>
    <xf numFmtId="4" fontId="9" fillId="0" borderId="2" xfId="0" applyNumberFormat="1" applyFont="1" applyBorder="1" applyAlignment="1">
      <alignment horizontal="center"/>
    </xf>
    <xf numFmtId="4" fontId="4" fillId="3" borderId="2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5" borderId="0" xfId="0" applyFont="1" applyFill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</cellXfs>
  <cellStyles count="2">
    <cellStyle name="Normal" xfId="0" builtinId="0"/>
    <cellStyle name="Normal 2" xfId="1" xr:uid="{F2ED11E5-C68A-4A73-A27F-B93F9831C726}"/>
  </cellStyles>
  <dxfs count="15">
    <dxf>
      <fill>
        <patternFill>
          <bgColor rgb="FFFFC7CE"/>
        </patternFill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C4D79B"/>
        </top>
        <bottom style="thin">
          <color rgb="FFC4D79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12" Type="http://schemas.microsoft.com/office/2023/09/relationships/Python" Target="pyth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06217f9eae6693/Documentos/INGRESOS.xlsx" TargetMode="External"/><Relationship Id="rId1" Type="http://schemas.openxmlformats.org/officeDocument/2006/relationships/externalLinkPath" Target="INGRES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06217f9eae6693/Documentos/SALIDAS.xlsx" TargetMode="External"/><Relationship Id="rId1" Type="http://schemas.openxmlformats.org/officeDocument/2006/relationships/externalLinkPath" Target="SALI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f06217f9eae6693" itemId="5F06217F9EAE6693!s503547556d78464c9601eb09e9e037fd">
      <xxl21:absoluteUrl r:id="rId2"/>
    </xxl21:alternateUrls>
    <sheetNames>
      <sheetName val="INGRESOS"/>
    </sheetNames>
    <sheetDataSet>
      <sheetData sheetId="0">
        <row r="2">
          <cell r="D2" t="str">
            <v>010903060401</v>
          </cell>
          <cell r="N2">
            <v>47</v>
          </cell>
        </row>
        <row r="3">
          <cell r="D3" t="str">
            <v>010903060401</v>
          </cell>
          <cell r="N3">
            <v>47.8</v>
          </cell>
        </row>
        <row r="4">
          <cell r="D4" t="str">
            <v>010903060401</v>
          </cell>
          <cell r="N4">
            <v>46.4</v>
          </cell>
        </row>
        <row r="5">
          <cell r="D5" t="str">
            <v>010903060401</v>
          </cell>
          <cell r="N5">
            <v>45.4</v>
          </cell>
        </row>
        <row r="6">
          <cell r="D6" t="str">
            <v>010903060401</v>
          </cell>
          <cell r="N6">
            <v>47.6</v>
          </cell>
        </row>
        <row r="7">
          <cell r="D7" t="str">
            <v>010903060401</v>
          </cell>
          <cell r="N7">
            <v>43</v>
          </cell>
        </row>
        <row r="8">
          <cell r="D8" t="str">
            <v>010903060401</v>
          </cell>
          <cell r="N8">
            <v>44.6</v>
          </cell>
        </row>
        <row r="9">
          <cell r="D9" t="str">
            <v>010903060401</v>
          </cell>
          <cell r="N9">
            <v>48.2</v>
          </cell>
        </row>
        <row r="10">
          <cell r="D10" t="str">
            <v>010903060401</v>
          </cell>
          <cell r="N10">
            <v>49</v>
          </cell>
        </row>
        <row r="11">
          <cell r="D11" t="str">
            <v>010903060401</v>
          </cell>
          <cell r="N11">
            <v>47.4</v>
          </cell>
        </row>
        <row r="12">
          <cell r="D12" t="str">
            <v>010903060401</v>
          </cell>
          <cell r="N12">
            <v>51.8</v>
          </cell>
        </row>
        <row r="13">
          <cell r="D13" t="str">
            <v>010903060401</v>
          </cell>
          <cell r="N13">
            <v>47.4</v>
          </cell>
        </row>
        <row r="14">
          <cell r="D14" t="str">
            <v>010903060401</v>
          </cell>
          <cell r="N14">
            <v>45.2</v>
          </cell>
        </row>
        <row r="15">
          <cell r="D15" t="str">
            <v>010903060401</v>
          </cell>
          <cell r="N15">
            <v>50.2</v>
          </cell>
        </row>
        <row r="16">
          <cell r="D16" t="str">
            <v>010903060401</v>
          </cell>
          <cell r="N16">
            <v>44</v>
          </cell>
        </row>
        <row r="17">
          <cell r="D17" t="str">
            <v>010903060401</v>
          </cell>
          <cell r="N17">
            <v>50</v>
          </cell>
        </row>
        <row r="18">
          <cell r="D18" t="str">
            <v>010903060401</v>
          </cell>
          <cell r="N18">
            <v>46.6</v>
          </cell>
        </row>
        <row r="19">
          <cell r="D19" t="str">
            <v>010903060401</v>
          </cell>
          <cell r="N19">
            <v>47.8</v>
          </cell>
        </row>
        <row r="20">
          <cell r="D20" t="str">
            <v>010903060401</v>
          </cell>
          <cell r="N20">
            <v>44.2</v>
          </cell>
        </row>
        <row r="21">
          <cell r="D21" t="str">
            <v>010903060401</v>
          </cell>
          <cell r="N21">
            <v>45.6</v>
          </cell>
        </row>
        <row r="22">
          <cell r="D22" t="str">
            <v>010903060401</v>
          </cell>
          <cell r="N22">
            <v>46.4</v>
          </cell>
        </row>
        <row r="23">
          <cell r="D23" t="str">
            <v>010903060401</v>
          </cell>
          <cell r="N23">
            <v>47</v>
          </cell>
        </row>
        <row r="24">
          <cell r="D24" t="str">
            <v>010903060401</v>
          </cell>
          <cell r="N24">
            <v>46.2</v>
          </cell>
        </row>
        <row r="25">
          <cell r="D25" t="str">
            <v>010903060401</v>
          </cell>
          <cell r="N25">
            <v>47.4</v>
          </cell>
        </row>
        <row r="26">
          <cell r="D26" t="str">
            <v>010903060401</v>
          </cell>
          <cell r="N26">
            <v>45.8</v>
          </cell>
        </row>
        <row r="27">
          <cell r="D27" t="str">
            <v>010903060401</v>
          </cell>
          <cell r="N27">
            <v>45.4</v>
          </cell>
        </row>
        <row r="28">
          <cell r="D28" t="str">
            <v>010903060401</v>
          </cell>
          <cell r="N28">
            <v>48.6</v>
          </cell>
        </row>
        <row r="29">
          <cell r="D29" t="str">
            <v>010903060401</v>
          </cell>
          <cell r="N29">
            <v>46.8</v>
          </cell>
        </row>
        <row r="30">
          <cell r="D30" t="str">
            <v>010903060401</v>
          </cell>
          <cell r="N30">
            <v>43.2</v>
          </cell>
        </row>
        <row r="31">
          <cell r="D31" t="str">
            <v>010903060401</v>
          </cell>
          <cell r="N31">
            <v>47</v>
          </cell>
        </row>
        <row r="32">
          <cell r="D32" t="str">
            <v>010903060401</v>
          </cell>
          <cell r="N32">
            <v>43.8</v>
          </cell>
        </row>
        <row r="33">
          <cell r="D33" t="str">
            <v>010903060601</v>
          </cell>
          <cell r="N33">
            <v>43.2</v>
          </cell>
        </row>
        <row r="34">
          <cell r="D34" t="str">
            <v>010903060401</v>
          </cell>
          <cell r="N34">
            <v>48.6</v>
          </cell>
        </row>
        <row r="35">
          <cell r="D35" t="str">
            <v>010903060401</v>
          </cell>
          <cell r="N35">
            <v>45.8</v>
          </cell>
        </row>
        <row r="36">
          <cell r="D36" t="str">
            <v>010903060401</v>
          </cell>
          <cell r="N36">
            <v>47.6</v>
          </cell>
        </row>
        <row r="37">
          <cell r="D37" t="str">
            <v>010903060401</v>
          </cell>
          <cell r="N37">
            <v>45.6</v>
          </cell>
        </row>
        <row r="38">
          <cell r="D38" t="str">
            <v>010903060401</v>
          </cell>
          <cell r="N38">
            <v>46.6</v>
          </cell>
        </row>
        <row r="39">
          <cell r="D39" t="str">
            <v>010903060401</v>
          </cell>
          <cell r="N39">
            <v>45.4</v>
          </cell>
        </row>
        <row r="40">
          <cell r="D40" t="str">
            <v>010903060401</v>
          </cell>
          <cell r="N40">
            <v>48</v>
          </cell>
        </row>
        <row r="41">
          <cell r="D41" t="str">
            <v>010903060401</v>
          </cell>
          <cell r="N41">
            <v>49</v>
          </cell>
        </row>
        <row r="42">
          <cell r="D42" t="str">
            <v>010903060401</v>
          </cell>
          <cell r="N42">
            <v>44.2</v>
          </cell>
        </row>
        <row r="43">
          <cell r="D43" t="str">
            <v>010903060401</v>
          </cell>
          <cell r="N43">
            <v>44.6</v>
          </cell>
        </row>
        <row r="44">
          <cell r="D44" t="str">
            <v>010903060401</v>
          </cell>
          <cell r="N44">
            <v>48.6</v>
          </cell>
        </row>
        <row r="45">
          <cell r="D45" t="str">
            <v>010903060401</v>
          </cell>
          <cell r="N45">
            <v>45.2</v>
          </cell>
        </row>
        <row r="46">
          <cell r="D46" t="str">
            <v>010903060401</v>
          </cell>
          <cell r="N46">
            <v>47.4</v>
          </cell>
        </row>
        <row r="47">
          <cell r="D47" t="str">
            <v>010903060401</v>
          </cell>
          <cell r="N47">
            <v>45.4</v>
          </cell>
        </row>
        <row r="48">
          <cell r="D48" t="str">
            <v>010903060401</v>
          </cell>
          <cell r="N48">
            <v>46</v>
          </cell>
        </row>
        <row r="49">
          <cell r="D49" t="str">
            <v>010903060401</v>
          </cell>
          <cell r="N49">
            <v>45</v>
          </cell>
        </row>
        <row r="50">
          <cell r="D50" t="str">
            <v>010903060401</v>
          </cell>
          <cell r="N50">
            <v>47.8</v>
          </cell>
        </row>
        <row r="51">
          <cell r="D51" t="str">
            <v>010903060401</v>
          </cell>
          <cell r="N51">
            <v>47.2</v>
          </cell>
        </row>
        <row r="52">
          <cell r="D52" t="str">
            <v>010903060401</v>
          </cell>
          <cell r="N52">
            <v>44.4</v>
          </cell>
        </row>
        <row r="53">
          <cell r="D53" t="str">
            <v>010903060401</v>
          </cell>
          <cell r="N53">
            <v>48.2</v>
          </cell>
        </row>
        <row r="54">
          <cell r="D54" t="str">
            <v>010903060401</v>
          </cell>
          <cell r="N54">
            <v>46.2</v>
          </cell>
        </row>
        <row r="55">
          <cell r="D55" t="str">
            <v>010903060401</v>
          </cell>
          <cell r="N55">
            <v>45.4</v>
          </cell>
        </row>
        <row r="56">
          <cell r="D56" t="str">
            <v>010903060401</v>
          </cell>
          <cell r="N56">
            <v>50</v>
          </cell>
        </row>
        <row r="57">
          <cell r="D57" t="str">
            <v>010903060401</v>
          </cell>
          <cell r="N57">
            <v>44.4</v>
          </cell>
        </row>
        <row r="58">
          <cell r="D58" t="str">
            <v>010903060401</v>
          </cell>
          <cell r="N58">
            <v>47.6</v>
          </cell>
        </row>
        <row r="59">
          <cell r="D59" t="str">
            <v>010903060401</v>
          </cell>
          <cell r="N59">
            <v>43</v>
          </cell>
        </row>
        <row r="60">
          <cell r="D60" t="str">
            <v>010903060401</v>
          </cell>
          <cell r="N60">
            <v>48.8</v>
          </cell>
        </row>
        <row r="61">
          <cell r="D61" t="str">
            <v>010903060401</v>
          </cell>
          <cell r="N61">
            <v>44.6</v>
          </cell>
        </row>
        <row r="62">
          <cell r="D62" t="str">
            <v>010903060401</v>
          </cell>
          <cell r="N62">
            <v>40.6</v>
          </cell>
        </row>
        <row r="63">
          <cell r="D63" t="str">
            <v>010903060401</v>
          </cell>
          <cell r="N63">
            <v>49.2</v>
          </cell>
        </row>
        <row r="64">
          <cell r="D64" t="str">
            <v>010903060401</v>
          </cell>
          <cell r="N64">
            <v>46.8</v>
          </cell>
        </row>
        <row r="65">
          <cell r="D65" t="str">
            <v>010903060401</v>
          </cell>
          <cell r="N65">
            <v>43</v>
          </cell>
        </row>
        <row r="66">
          <cell r="D66" t="str">
            <v>010903060401</v>
          </cell>
          <cell r="N66">
            <v>47.6</v>
          </cell>
        </row>
        <row r="67">
          <cell r="D67" t="str">
            <v>010903060401</v>
          </cell>
          <cell r="N67">
            <v>46.4</v>
          </cell>
        </row>
        <row r="68">
          <cell r="D68" t="str">
            <v>010903060401</v>
          </cell>
          <cell r="N68">
            <v>49.4</v>
          </cell>
        </row>
        <row r="69">
          <cell r="D69" t="str">
            <v>010903060401</v>
          </cell>
          <cell r="N69">
            <v>42.2</v>
          </cell>
        </row>
        <row r="70">
          <cell r="D70" t="str">
            <v>010903060401</v>
          </cell>
          <cell r="N70">
            <v>38.200000000000003</v>
          </cell>
        </row>
        <row r="71">
          <cell r="D71" t="str">
            <v>010903060401</v>
          </cell>
          <cell r="N71">
            <v>45.8</v>
          </cell>
        </row>
        <row r="72">
          <cell r="D72" t="str">
            <v>010903060401</v>
          </cell>
          <cell r="N72">
            <v>43.8</v>
          </cell>
        </row>
        <row r="73">
          <cell r="D73" t="str">
            <v>010903060401</v>
          </cell>
          <cell r="N73">
            <v>51.4</v>
          </cell>
        </row>
        <row r="74">
          <cell r="D74" t="str">
            <v>010903060401</v>
          </cell>
          <cell r="N74">
            <v>48.6</v>
          </cell>
        </row>
        <row r="75">
          <cell r="D75" t="str">
            <v>010903060401</v>
          </cell>
          <cell r="N75">
            <v>45</v>
          </cell>
        </row>
        <row r="76">
          <cell r="D76" t="str">
            <v>010903060401</v>
          </cell>
          <cell r="N76">
            <v>46</v>
          </cell>
        </row>
        <row r="77">
          <cell r="D77" t="str">
            <v>010903060401</v>
          </cell>
          <cell r="N77">
            <v>45</v>
          </cell>
        </row>
        <row r="78">
          <cell r="D78" t="str">
            <v>010903060401</v>
          </cell>
          <cell r="N78">
            <v>48.4</v>
          </cell>
        </row>
        <row r="79">
          <cell r="D79" t="str">
            <v>010903060401</v>
          </cell>
          <cell r="N79">
            <v>47.4</v>
          </cell>
        </row>
        <row r="80">
          <cell r="D80" t="str">
            <v>010903060401</v>
          </cell>
          <cell r="N80">
            <v>46.6</v>
          </cell>
        </row>
        <row r="81">
          <cell r="D81" t="str">
            <v>010903060401</v>
          </cell>
          <cell r="N81">
            <v>44.8</v>
          </cell>
        </row>
        <row r="82">
          <cell r="D82" t="str">
            <v>010903060401</v>
          </cell>
          <cell r="N82">
            <v>45.4</v>
          </cell>
        </row>
        <row r="83">
          <cell r="D83" t="str">
            <v>010903060401</v>
          </cell>
          <cell r="N83">
            <v>41.8</v>
          </cell>
        </row>
        <row r="84">
          <cell r="D84" t="str">
            <v>010903060401</v>
          </cell>
          <cell r="N84">
            <v>45.6</v>
          </cell>
        </row>
        <row r="85">
          <cell r="D85" t="str">
            <v>010903060401</v>
          </cell>
          <cell r="N85">
            <v>45</v>
          </cell>
        </row>
        <row r="86">
          <cell r="D86" t="str">
            <v>010903060401</v>
          </cell>
          <cell r="N86">
            <v>43.6</v>
          </cell>
        </row>
        <row r="87">
          <cell r="D87" t="str">
            <v>010903060401</v>
          </cell>
          <cell r="N87">
            <v>44</v>
          </cell>
        </row>
        <row r="88">
          <cell r="D88" t="str">
            <v>010903060401</v>
          </cell>
          <cell r="N88">
            <v>49.6</v>
          </cell>
        </row>
        <row r="89">
          <cell r="D89" t="str">
            <v>010903060401</v>
          </cell>
          <cell r="N89">
            <v>41.6</v>
          </cell>
        </row>
        <row r="90">
          <cell r="D90" t="str">
            <v>010903060401</v>
          </cell>
          <cell r="N90">
            <v>47.8</v>
          </cell>
        </row>
        <row r="91">
          <cell r="D91" t="str">
            <v>010903060401</v>
          </cell>
          <cell r="N91">
            <v>41.6</v>
          </cell>
        </row>
        <row r="92">
          <cell r="D92" t="str">
            <v>010903060401</v>
          </cell>
          <cell r="N92">
            <v>42.2</v>
          </cell>
        </row>
        <row r="93">
          <cell r="D93" t="str">
            <v>010903060401</v>
          </cell>
          <cell r="N93">
            <v>47.4</v>
          </cell>
        </row>
        <row r="94">
          <cell r="D94" t="str">
            <v>010903060401</v>
          </cell>
          <cell r="N94">
            <v>46.8</v>
          </cell>
        </row>
        <row r="95">
          <cell r="D95" t="str">
            <v>010903060401</v>
          </cell>
          <cell r="N95">
            <v>44.6</v>
          </cell>
        </row>
        <row r="96">
          <cell r="D96" t="str">
            <v>010903060401</v>
          </cell>
          <cell r="N96">
            <v>51.2</v>
          </cell>
        </row>
        <row r="97">
          <cell r="D97" t="str">
            <v>010903060401</v>
          </cell>
          <cell r="N97">
            <v>42</v>
          </cell>
        </row>
        <row r="98">
          <cell r="D98" t="str">
            <v>010903060401</v>
          </cell>
          <cell r="N98">
            <v>44.4</v>
          </cell>
        </row>
        <row r="99">
          <cell r="D99" t="str">
            <v>010903060401</v>
          </cell>
          <cell r="N99">
            <v>43.4</v>
          </cell>
        </row>
        <row r="100">
          <cell r="D100" t="str">
            <v>010903060401</v>
          </cell>
          <cell r="N100">
            <v>47.2</v>
          </cell>
        </row>
        <row r="101">
          <cell r="D101" t="str">
            <v>010903060401</v>
          </cell>
          <cell r="N101">
            <v>45.8</v>
          </cell>
        </row>
        <row r="102">
          <cell r="D102" t="str">
            <v>010903060401</v>
          </cell>
          <cell r="N102">
            <v>44</v>
          </cell>
        </row>
        <row r="103">
          <cell r="D103" t="str">
            <v>010903060401</v>
          </cell>
          <cell r="N103">
            <v>47.4</v>
          </cell>
        </row>
        <row r="104">
          <cell r="D104" t="str">
            <v>010903060401</v>
          </cell>
          <cell r="N104">
            <v>46.2</v>
          </cell>
        </row>
        <row r="105">
          <cell r="D105" t="str">
            <v>010903060401</v>
          </cell>
          <cell r="N105">
            <v>44</v>
          </cell>
        </row>
        <row r="106">
          <cell r="D106" t="str">
            <v>010903060401</v>
          </cell>
          <cell r="N106">
            <v>43.8</v>
          </cell>
        </row>
        <row r="107">
          <cell r="D107" t="str">
            <v>010903060401</v>
          </cell>
          <cell r="N107">
            <v>43.6</v>
          </cell>
        </row>
        <row r="108">
          <cell r="D108" t="str">
            <v>010903060401</v>
          </cell>
          <cell r="N108">
            <v>43.6</v>
          </cell>
        </row>
        <row r="109">
          <cell r="D109" t="str">
            <v>010903060401</v>
          </cell>
          <cell r="N109">
            <v>45.8</v>
          </cell>
        </row>
        <row r="110">
          <cell r="D110" t="str">
            <v>010903060401</v>
          </cell>
          <cell r="N110">
            <v>43.8</v>
          </cell>
        </row>
        <row r="111">
          <cell r="D111" t="str">
            <v>010903060401</v>
          </cell>
          <cell r="N111">
            <v>43.6</v>
          </cell>
        </row>
        <row r="112">
          <cell r="D112" t="str">
            <v>010903060401</v>
          </cell>
          <cell r="N112">
            <v>38</v>
          </cell>
        </row>
        <row r="113">
          <cell r="D113" t="str">
            <v>010903060401</v>
          </cell>
          <cell r="N113">
            <v>41.2</v>
          </cell>
        </row>
        <row r="114">
          <cell r="D114" t="str">
            <v>010903060401</v>
          </cell>
          <cell r="N114">
            <v>44.6</v>
          </cell>
        </row>
        <row r="115">
          <cell r="D115" t="str">
            <v>010903060401</v>
          </cell>
          <cell r="N115">
            <v>47.2</v>
          </cell>
        </row>
        <row r="116">
          <cell r="D116" t="str">
            <v>010903060401</v>
          </cell>
          <cell r="N116">
            <v>48.4</v>
          </cell>
        </row>
        <row r="117">
          <cell r="D117" t="str">
            <v>010903060401</v>
          </cell>
          <cell r="N117">
            <v>27.2</v>
          </cell>
        </row>
        <row r="118">
          <cell r="D118" t="str">
            <v>010903060401</v>
          </cell>
          <cell r="N118">
            <v>25.2</v>
          </cell>
        </row>
        <row r="119">
          <cell r="D119" t="str">
            <v>010903060401</v>
          </cell>
          <cell r="N119">
            <v>14.2</v>
          </cell>
        </row>
        <row r="120">
          <cell r="D120" t="str">
            <v>010903060601</v>
          </cell>
          <cell r="N120">
            <v>44.8</v>
          </cell>
        </row>
        <row r="121">
          <cell r="D121" t="str">
            <v>010903060601</v>
          </cell>
          <cell r="N121">
            <v>51</v>
          </cell>
        </row>
        <row r="122">
          <cell r="D122" t="str">
            <v>010903060601</v>
          </cell>
          <cell r="N122">
            <v>46.4</v>
          </cell>
        </row>
        <row r="123">
          <cell r="D123" t="str">
            <v>010903060601</v>
          </cell>
          <cell r="N123">
            <v>44.6</v>
          </cell>
        </row>
        <row r="124">
          <cell r="D124" t="str">
            <v>010903060601</v>
          </cell>
          <cell r="N124">
            <v>43.2</v>
          </cell>
        </row>
        <row r="125">
          <cell r="D125" t="str">
            <v>010903060601</v>
          </cell>
          <cell r="N125">
            <v>48.2</v>
          </cell>
        </row>
        <row r="126">
          <cell r="D126" t="str">
            <v>010903060601</v>
          </cell>
          <cell r="N126">
            <v>45.2</v>
          </cell>
        </row>
        <row r="127">
          <cell r="D127" t="str">
            <v>010903060601</v>
          </cell>
          <cell r="N127">
            <v>46</v>
          </cell>
        </row>
        <row r="128">
          <cell r="D128" t="str">
            <v>010903060601</v>
          </cell>
          <cell r="N128">
            <v>43</v>
          </cell>
        </row>
        <row r="129">
          <cell r="D129" t="str">
            <v>010903060601</v>
          </cell>
          <cell r="N129">
            <v>46.2</v>
          </cell>
        </row>
        <row r="130">
          <cell r="D130" t="str">
            <v>010903060601</v>
          </cell>
          <cell r="N130">
            <v>37.4</v>
          </cell>
        </row>
        <row r="131">
          <cell r="D131" t="str">
            <v>010903060601</v>
          </cell>
          <cell r="N131">
            <v>45</v>
          </cell>
        </row>
        <row r="132">
          <cell r="D132" t="str">
            <v>010903060601</v>
          </cell>
          <cell r="N132">
            <v>46.4</v>
          </cell>
        </row>
        <row r="133">
          <cell r="D133" t="str">
            <v>010903060601</v>
          </cell>
          <cell r="N133">
            <v>46.6</v>
          </cell>
        </row>
        <row r="134">
          <cell r="D134" t="str">
            <v>010903060601</v>
          </cell>
          <cell r="N134">
            <v>44.2</v>
          </cell>
        </row>
        <row r="135">
          <cell r="D135" t="str">
            <v>010903060601</v>
          </cell>
          <cell r="N135">
            <v>47.2</v>
          </cell>
        </row>
        <row r="136">
          <cell r="D136" t="str">
            <v>010903060601</v>
          </cell>
          <cell r="N136">
            <v>44.6</v>
          </cell>
        </row>
        <row r="137">
          <cell r="D137" t="str">
            <v>010903060601</v>
          </cell>
          <cell r="N137">
            <v>45</v>
          </cell>
        </row>
        <row r="138">
          <cell r="D138" t="str">
            <v>010903060601</v>
          </cell>
          <cell r="N138">
            <v>45.4</v>
          </cell>
        </row>
        <row r="139">
          <cell r="D139" t="str">
            <v>010903060601</v>
          </cell>
          <cell r="N139">
            <v>46.4</v>
          </cell>
        </row>
        <row r="140">
          <cell r="D140" t="str">
            <v>010903060601</v>
          </cell>
          <cell r="N140">
            <v>45.8</v>
          </cell>
        </row>
        <row r="141">
          <cell r="D141" t="str">
            <v>010903060601</v>
          </cell>
          <cell r="N141">
            <v>40.4</v>
          </cell>
        </row>
        <row r="142">
          <cell r="D142" t="str">
            <v>010903060601</v>
          </cell>
          <cell r="N142">
            <v>48.8</v>
          </cell>
        </row>
        <row r="143">
          <cell r="D143" t="str">
            <v>010903060601</v>
          </cell>
          <cell r="N143">
            <v>45.2</v>
          </cell>
        </row>
        <row r="144">
          <cell r="D144" t="str">
            <v>010903060601</v>
          </cell>
          <cell r="N144">
            <v>46</v>
          </cell>
        </row>
        <row r="145">
          <cell r="D145" t="str">
            <v>010903060601</v>
          </cell>
          <cell r="N145">
            <v>48</v>
          </cell>
        </row>
        <row r="146">
          <cell r="D146" t="str">
            <v>010903060601</v>
          </cell>
          <cell r="N146">
            <v>42.6</v>
          </cell>
        </row>
        <row r="147">
          <cell r="D147" t="str">
            <v>010903060601</v>
          </cell>
          <cell r="N147">
            <v>44.4</v>
          </cell>
        </row>
        <row r="148">
          <cell r="D148" t="str">
            <v>010903060601</v>
          </cell>
          <cell r="N148">
            <v>48.6</v>
          </cell>
        </row>
        <row r="149">
          <cell r="D149" t="str">
            <v>010903060601</v>
          </cell>
          <cell r="N149">
            <v>43.4</v>
          </cell>
        </row>
        <row r="150">
          <cell r="D150" t="str">
            <v>010903060601</v>
          </cell>
          <cell r="N150">
            <v>43.6</v>
          </cell>
        </row>
        <row r="151">
          <cell r="D151" t="str">
            <v>010903060601</v>
          </cell>
          <cell r="N151">
            <v>52</v>
          </cell>
        </row>
        <row r="152">
          <cell r="D152" t="str">
            <v>010903060601</v>
          </cell>
          <cell r="N152">
            <v>54.8</v>
          </cell>
        </row>
        <row r="153">
          <cell r="D153" t="str">
            <v>010903060601</v>
          </cell>
          <cell r="N153">
            <v>46.8</v>
          </cell>
        </row>
        <row r="154">
          <cell r="D154" t="str">
            <v>010903060601</v>
          </cell>
          <cell r="N154">
            <v>45.2</v>
          </cell>
        </row>
        <row r="155">
          <cell r="D155" t="str">
            <v>010903060601</v>
          </cell>
          <cell r="N155">
            <v>45.2</v>
          </cell>
        </row>
        <row r="156">
          <cell r="D156" t="str">
            <v>010903060601</v>
          </cell>
          <cell r="N156">
            <v>45.2</v>
          </cell>
        </row>
        <row r="157">
          <cell r="D157" t="str">
            <v>010903060601</v>
          </cell>
          <cell r="N157">
            <v>44.2</v>
          </cell>
        </row>
        <row r="158">
          <cell r="D158" t="str">
            <v>010903060601</v>
          </cell>
          <cell r="N158">
            <v>42.8</v>
          </cell>
        </row>
        <row r="159">
          <cell r="D159" t="str">
            <v>010903060601</v>
          </cell>
          <cell r="N159">
            <v>48.4</v>
          </cell>
        </row>
        <row r="160">
          <cell r="D160" t="str">
            <v>010903060601</v>
          </cell>
          <cell r="N160">
            <v>46.4</v>
          </cell>
        </row>
        <row r="161">
          <cell r="D161" t="str">
            <v>010903060601</v>
          </cell>
          <cell r="N161">
            <v>50.4</v>
          </cell>
        </row>
        <row r="162">
          <cell r="D162" t="str">
            <v>010903060601</v>
          </cell>
          <cell r="N162">
            <v>43.4</v>
          </cell>
        </row>
        <row r="163">
          <cell r="D163" t="str">
            <v>010903060601</v>
          </cell>
          <cell r="N163">
            <v>43.4</v>
          </cell>
        </row>
        <row r="164">
          <cell r="D164" t="str">
            <v>010903060601</v>
          </cell>
          <cell r="N164">
            <v>45.6</v>
          </cell>
        </row>
        <row r="165">
          <cell r="D165" t="str">
            <v>010903060601</v>
          </cell>
          <cell r="N165">
            <v>46.4</v>
          </cell>
        </row>
        <row r="166">
          <cell r="D166" t="str">
            <v>010903060601</v>
          </cell>
          <cell r="N166">
            <v>43</v>
          </cell>
        </row>
        <row r="167">
          <cell r="D167" t="str">
            <v>010903060601</v>
          </cell>
          <cell r="N167">
            <v>44</v>
          </cell>
        </row>
        <row r="168">
          <cell r="D168" t="str">
            <v>010903060601</v>
          </cell>
          <cell r="N168">
            <v>44</v>
          </cell>
        </row>
        <row r="169">
          <cell r="D169" t="str">
            <v>010903060601</v>
          </cell>
          <cell r="N169">
            <v>41.6</v>
          </cell>
        </row>
        <row r="170">
          <cell r="D170" t="str">
            <v>010903060601</v>
          </cell>
          <cell r="N170">
            <v>46.2</v>
          </cell>
        </row>
        <row r="171">
          <cell r="D171" t="str">
            <v>010903060601</v>
          </cell>
          <cell r="N171">
            <v>41</v>
          </cell>
        </row>
        <row r="172">
          <cell r="D172" t="str">
            <v>010903060601</v>
          </cell>
          <cell r="N172">
            <v>44.6</v>
          </cell>
        </row>
        <row r="173">
          <cell r="D173" t="str">
            <v>010903060601</v>
          </cell>
          <cell r="N173">
            <v>45.4</v>
          </cell>
        </row>
        <row r="174">
          <cell r="D174" t="str">
            <v>010903060601</v>
          </cell>
          <cell r="N174">
            <v>44.8</v>
          </cell>
        </row>
        <row r="175">
          <cell r="D175" t="str">
            <v>010903060601</v>
          </cell>
          <cell r="N175">
            <v>45.6</v>
          </cell>
        </row>
        <row r="176">
          <cell r="D176" t="str">
            <v>010903060601</v>
          </cell>
          <cell r="N176">
            <v>48.6</v>
          </cell>
        </row>
        <row r="177">
          <cell r="D177" t="str">
            <v>010903060601</v>
          </cell>
          <cell r="N177">
            <v>48.2</v>
          </cell>
        </row>
        <row r="178">
          <cell r="D178" t="str">
            <v>010903060601</v>
          </cell>
          <cell r="N178">
            <v>45.6</v>
          </cell>
        </row>
        <row r="179">
          <cell r="D179" t="str">
            <v>010903060601</v>
          </cell>
          <cell r="N179">
            <v>51.2</v>
          </cell>
        </row>
        <row r="180">
          <cell r="D180" t="str">
            <v>010903060601</v>
          </cell>
          <cell r="N180">
            <v>58.8</v>
          </cell>
        </row>
        <row r="181">
          <cell r="D181" t="str">
            <v>010903060601</v>
          </cell>
          <cell r="N181">
            <v>50.6</v>
          </cell>
        </row>
        <row r="182">
          <cell r="D182" t="str">
            <v>010903060601</v>
          </cell>
          <cell r="N182">
            <v>45.6</v>
          </cell>
        </row>
        <row r="183">
          <cell r="D183" t="str">
            <v>010903060601</v>
          </cell>
          <cell r="N183">
            <v>48.2</v>
          </cell>
        </row>
        <row r="184">
          <cell r="D184" t="str">
            <v>010903060601</v>
          </cell>
          <cell r="N184">
            <v>48</v>
          </cell>
        </row>
        <row r="185">
          <cell r="D185" t="str">
            <v>010903060601</v>
          </cell>
          <cell r="N185">
            <v>48.8</v>
          </cell>
        </row>
        <row r="186">
          <cell r="D186" t="str">
            <v>010903060601</v>
          </cell>
          <cell r="N186">
            <v>54.4</v>
          </cell>
        </row>
        <row r="187">
          <cell r="D187" t="str">
            <v>010903060601</v>
          </cell>
          <cell r="N187">
            <v>47.4</v>
          </cell>
        </row>
        <row r="188">
          <cell r="D188" t="str">
            <v>010903060601</v>
          </cell>
          <cell r="N188">
            <v>47.4</v>
          </cell>
        </row>
        <row r="189">
          <cell r="D189" t="str">
            <v>010903060601</v>
          </cell>
          <cell r="N189">
            <v>53.6</v>
          </cell>
        </row>
        <row r="190">
          <cell r="D190" t="str">
            <v>010903060601</v>
          </cell>
          <cell r="N190">
            <v>53.6</v>
          </cell>
        </row>
        <row r="191">
          <cell r="D191" t="str">
            <v>010903060601</v>
          </cell>
          <cell r="N191">
            <v>27.4</v>
          </cell>
        </row>
        <row r="192">
          <cell r="D192" t="str">
            <v>010903060601</v>
          </cell>
          <cell r="N192">
            <v>30.2</v>
          </cell>
        </row>
        <row r="193">
          <cell r="D193" t="str">
            <v>010903060601</v>
          </cell>
          <cell r="N193">
            <v>25.4</v>
          </cell>
        </row>
        <row r="194">
          <cell r="D194" t="str">
            <v>010903060601</v>
          </cell>
          <cell r="N194">
            <v>42.8</v>
          </cell>
        </row>
        <row r="195">
          <cell r="D195" t="str">
            <v>010903060301</v>
          </cell>
          <cell r="N195">
            <v>42.8</v>
          </cell>
        </row>
        <row r="196">
          <cell r="D196" t="str">
            <v>010903060301</v>
          </cell>
          <cell r="N196">
            <v>45.2</v>
          </cell>
        </row>
        <row r="197">
          <cell r="D197" t="str">
            <v>010903060401</v>
          </cell>
          <cell r="N197">
            <v>36.799999999999997</v>
          </cell>
        </row>
        <row r="198">
          <cell r="D198" t="str">
            <v>010903060401</v>
          </cell>
          <cell r="N198">
            <v>51.2</v>
          </cell>
        </row>
        <row r="199">
          <cell r="D199" t="str">
            <v>010903060401</v>
          </cell>
          <cell r="N199">
            <v>22.6</v>
          </cell>
        </row>
        <row r="200">
          <cell r="D200" t="str">
            <v>010903060601</v>
          </cell>
          <cell r="N200">
            <v>8.4</v>
          </cell>
        </row>
        <row r="201">
          <cell r="D201" t="str">
            <v>010904060601</v>
          </cell>
          <cell r="N201">
            <v>47.8</v>
          </cell>
        </row>
        <row r="202">
          <cell r="D202" t="str">
            <v>010904060601</v>
          </cell>
          <cell r="N202">
            <v>48.6</v>
          </cell>
        </row>
        <row r="203">
          <cell r="D203" t="str">
            <v>010904060601</v>
          </cell>
          <cell r="N203">
            <v>46.2</v>
          </cell>
        </row>
        <row r="204">
          <cell r="D204" t="str">
            <v>010904060601</v>
          </cell>
          <cell r="N204">
            <v>52</v>
          </cell>
        </row>
        <row r="205">
          <cell r="D205" t="str">
            <v>010904060601</v>
          </cell>
          <cell r="N205">
            <v>54.4</v>
          </cell>
        </row>
        <row r="206">
          <cell r="D206" t="str">
            <v>010904060601</v>
          </cell>
          <cell r="N206">
            <v>47.8</v>
          </cell>
        </row>
        <row r="207">
          <cell r="D207" t="str">
            <v>010904060601</v>
          </cell>
          <cell r="N207">
            <v>55.2</v>
          </cell>
        </row>
        <row r="208">
          <cell r="D208" t="str">
            <v>010904060601</v>
          </cell>
          <cell r="N208">
            <v>51.4</v>
          </cell>
        </row>
        <row r="209">
          <cell r="D209" t="str">
            <v>010904060601</v>
          </cell>
          <cell r="N209">
            <v>48</v>
          </cell>
        </row>
        <row r="210">
          <cell r="D210" t="str">
            <v>010904060601</v>
          </cell>
          <cell r="N210">
            <v>50</v>
          </cell>
        </row>
        <row r="211">
          <cell r="D211" t="str">
            <v>010904060601</v>
          </cell>
          <cell r="N211">
            <v>39.200000000000003</v>
          </cell>
        </row>
        <row r="212">
          <cell r="D212" t="str">
            <v>010904060601</v>
          </cell>
          <cell r="N212">
            <v>50</v>
          </cell>
        </row>
        <row r="213">
          <cell r="D213" t="str">
            <v>010904060601</v>
          </cell>
          <cell r="N213">
            <v>50.4</v>
          </cell>
        </row>
        <row r="214">
          <cell r="D214" t="str">
            <v>010904060601</v>
          </cell>
          <cell r="N214">
            <v>48.4</v>
          </cell>
        </row>
        <row r="215">
          <cell r="D215" t="str">
            <v>010904060601</v>
          </cell>
          <cell r="N215">
            <v>48.8</v>
          </cell>
        </row>
        <row r="216">
          <cell r="D216" t="str">
            <v>010904060601</v>
          </cell>
          <cell r="N216">
            <v>51.8</v>
          </cell>
        </row>
        <row r="217">
          <cell r="D217" t="str">
            <v>010904060601</v>
          </cell>
          <cell r="N217">
            <v>45.6</v>
          </cell>
        </row>
        <row r="218">
          <cell r="D218" t="str">
            <v>010904060601</v>
          </cell>
          <cell r="N218">
            <v>47.4</v>
          </cell>
        </row>
        <row r="219">
          <cell r="D219" t="str">
            <v>010904060601</v>
          </cell>
          <cell r="N219">
            <v>50.2</v>
          </cell>
        </row>
        <row r="220">
          <cell r="D220" t="str">
            <v>010904060601</v>
          </cell>
          <cell r="N220">
            <v>44.6</v>
          </cell>
        </row>
        <row r="221">
          <cell r="D221" t="str">
            <v>010904060601</v>
          </cell>
          <cell r="N221">
            <v>42</v>
          </cell>
        </row>
        <row r="222">
          <cell r="D222" t="str">
            <v>010904060601</v>
          </cell>
          <cell r="N222">
            <v>45</v>
          </cell>
        </row>
        <row r="223">
          <cell r="D223" t="str">
            <v>010904060601</v>
          </cell>
          <cell r="N223">
            <v>44.8</v>
          </cell>
        </row>
        <row r="224">
          <cell r="D224" t="str">
            <v>010904060601</v>
          </cell>
          <cell r="N224">
            <v>45</v>
          </cell>
        </row>
        <row r="225">
          <cell r="D225" t="str">
            <v>010904060401</v>
          </cell>
          <cell r="N225">
            <v>45.8</v>
          </cell>
        </row>
        <row r="226">
          <cell r="D226" t="str">
            <v>010904060401</v>
          </cell>
          <cell r="N226">
            <v>45.8</v>
          </cell>
        </row>
        <row r="227">
          <cell r="D227" t="str">
            <v>010904060401</v>
          </cell>
          <cell r="N227">
            <v>45</v>
          </cell>
        </row>
        <row r="228">
          <cell r="D228" t="str">
            <v>010904060401</v>
          </cell>
          <cell r="N228">
            <v>43.6</v>
          </cell>
        </row>
        <row r="229">
          <cell r="D229" t="str">
            <v>010904060401</v>
          </cell>
          <cell r="N229">
            <v>45.4</v>
          </cell>
        </row>
        <row r="230">
          <cell r="D230" t="str">
            <v>010904060401</v>
          </cell>
          <cell r="N230">
            <v>46.2</v>
          </cell>
        </row>
        <row r="231">
          <cell r="D231" t="str">
            <v>010904060401</v>
          </cell>
          <cell r="N231">
            <v>42.2</v>
          </cell>
        </row>
        <row r="232">
          <cell r="D232" t="str">
            <v>010904060401</v>
          </cell>
          <cell r="N232">
            <v>40.200000000000003</v>
          </cell>
        </row>
        <row r="233">
          <cell r="D233" t="str">
            <v>010904060401</v>
          </cell>
          <cell r="N233">
            <v>42.8</v>
          </cell>
        </row>
        <row r="234">
          <cell r="D234" t="str">
            <v>010904060401</v>
          </cell>
          <cell r="N234">
            <v>44.6</v>
          </cell>
        </row>
        <row r="235">
          <cell r="D235" t="str">
            <v>010904060401</v>
          </cell>
          <cell r="N235">
            <v>45</v>
          </cell>
        </row>
        <row r="236">
          <cell r="D236" t="str">
            <v>010904060301</v>
          </cell>
          <cell r="N236">
            <v>19.399999999999999</v>
          </cell>
        </row>
        <row r="237">
          <cell r="D237" t="str">
            <v>010904060401</v>
          </cell>
          <cell r="N237">
            <v>17.8</v>
          </cell>
        </row>
        <row r="238">
          <cell r="D238" t="str">
            <v>010904060401</v>
          </cell>
          <cell r="N238">
            <v>51.2</v>
          </cell>
        </row>
        <row r="239">
          <cell r="D239" t="str">
            <v>010904060401</v>
          </cell>
          <cell r="N239">
            <v>30.2</v>
          </cell>
        </row>
        <row r="240">
          <cell r="D240" t="str">
            <v>010904060401</v>
          </cell>
          <cell r="N240">
            <v>7.8</v>
          </cell>
        </row>
        <row r="241">
          <cell r="D241" t="str">
            <v>010904060301</v>
          </cell>
          <cell r="N241">
            <v>18</v>
          </cell>
        </row>
        <row r="242">
          <cell r="D242" t="str">
            <v>010904060601</v>
          </cell>
          <cell r="N242">
            <v>32.200000000000003</v>
          </cell>
        </row>
        <row r="243">
          <cell r="D243" t="str">
            <v>010904060601</v>
          </cell>
          <cell r="N243">
            <v>9.5</v>
          </cell>
        </row>
        <row r="244">
          <cell r="D244" t="str">
            <v>010904060401</v>
          </cell>
          <cell r="N244">
            <v>5.2</v>
          </cell>
        </row>
        <row r="245">
          <cell r="D245" t="str">
            <v>010904060601</v>
          </cell>
          <cell r="N245">
            <v>17.399999999999999</v>
          </cell>
        </row>
        <row r="246">
          <cell r="D246" t="str">
            <v>010904060401</v>
          </cell>
          <cell r="N246">
            <v>25.2</v>
          </cell>
        </row>
        <row r="247">
          <cell r="D247" t="str">
            <v>081402070301</v>
          </cell>
          <cell r="N247">
            <v>39</v>
          </cell>
        </row>
        <row r="248">
          <cell r="D248" t="str">
            <v>081402070301</v>
          </cell>
          <cell r="N248">
            <v>36.700000000000003</v>
          </cell>
        </row>
        <row r="249">
          <cell r="D249" t="str">
            <v>081402070201</v>
          </cell>
          <cell r="N249">
            <v>40.299999999999997</v>
          </cell>
        </row>
        <row r="250">
          <cell r="D250" t="str">
            <v>081402070201</v>
          </cell>
          <cell r="N250">
            <v>42.1</v>
          </cell>
        </row>
        <row r="251">
          <cell r="D251" t="str">
            <v>081402070301</v>
          </cell>
          <cell r="N251">
            <v>40.700000000000003</v>
          </cell>
        </row>
        <row r="252">
          <cell r="D252" t="str">
            <v>081402070301</v>
          </cell>
          <cell r="N252">
            <v>39.200000000000003</v>
          </cell>
        </row>
        <row r="253">
          <cell r="D253" t="str">
            <v>081402070301</v>
          </cell>
          <cell r="N253">
            <v>38.6</v>
          </cell>
        </row>
        <row r="254">
          <cell r="D254" t="str">
            <v>081402070301</v>
          </cell>
          <cell r="N254">
            <v>39.799999999999997</v>
          </cell>
        </row>
        <row r="255">
          <cell r="D255" t="str">
            <v>081402070301</v>
          </cell>
          <cell r="N255">
            <v>38.799999999999997</v>
          </cell>
        </row>
        <row r="256">
          <cell r="D256" t="str">
            <v>081402070201</v>
          </cell>
          <cell r="N256">
            <v>20.8</v>
          </cell>
        </row>
        <row r="257">
          <cell r="D257" t="str">
            <v>081402070401</v>
          </cell>
          <cell r="N257">
            <v>11.2</v>
          </cell>
        </row>
        <row r="258">
          <cell r="D258" t="str">
            <v>081402070301</v>
          </cell>
          <cell r="N258">
            <v>6.4</v>
          </cell>
        </row>
        <row r="259">
          <cell r="D259" t="str">
            <v>081402070301</v>
          </cell>
          <cell r="N259">
            <v>6.4</v>
          </cell>
        </row>
        <row r="260">
          <cell r="D260" t="str">
            <v>010909060601</v>
          </cell>
          <cell r="N260">
            <v>47.2</v>
          </cell>
        </row>
        <row r="261">
          <cell r="D261" t="str">
            <v>010909060601</v>
          </cell>
          <cell r="N261">
            <v>42.4</v>
          </cell>
        </row>
        <row r="262">
          <cell r="D262" t="str">
            <v>010909060601</v>
          </cell>
          <cell r="N262">
            <v>47.6</v>
          </cell>
        </row>
        <row r="263">
          <cell r="D263" t="str">
            <v>010909060301</v>
          </cell>
          <cell r="N263">
            <v>43.2</v>
          </cell>
        </row>
        <row r="264">
          <cell r="D264" t="str">
            <v>010909060601</v>
          </cell>
          <cell r="N264">
            <v>48.8</v>
          </cell>
        </row>
        <row r="265">
          <cell r="D265" t="str">
            <v>010909060401</v>
          </cell>
          <cell r="N265">
            <v>7.6</v>
          </cell>
        </row>
        <row r="266">
          <cell r="D266" t="str">
            <v>010909060401</v>
          </cell>
          <cell r="N266">
            <v>7.9</v>
          </cell>
        </row>
        <row r="267">
          <cell r="D267" t="str">
            <v>010909060601</v>
          </cell>
          <cell r="N267">
            <v>10.7</v>
          </cell>
        </row>
        <row r="268">
          <cell r="D268" t="str">
            <v>010909060301</v>
          </cell>
          <cell r="N268">
            <v>4.2</v>
          </cell>
        </row>
        <row r="269">
          <cell r="D269" t="str">
            <v>010909060201</v>
          </cell>
          <cell r="N269">
            <v>15.8</v>
          </cell>
        </row>
        <row r="270">
          <cell r="D270" t="str">
            <v>081702070101</v>
          </cell>
          <cell r="N270">
            <v>42.4</v>
          </cell>
        </row>
        <row r="271">
          <cell r="D271" t="str">
            <v>081702070101</v>
          </cell>
          <cell r="N271">
            <v>46</v>
          </cell>
        </row>
        <row r="272">
          <cell r="D272" t="str">
            <v>081702070101</v>
          </cell>
          <cell r="N272">
            <v>39.6</v>
          </cell>
        </row>
        <row r="273">
          <cell r="D273" t="str">
            <v>081702070101</v>
          </cell>
          <cell r="N273">
            <v>36.5</v>
          </cell>
        </row>
        <row r="274">
          <cell r="D274" t="str">
            <v>081702070101</v>
          </cell>
          <cell r="N274">
            <v>41.1</v>
          </cell>
        </row>
        <row r="275">
          <cell r="D275" t="str">
            <v>081702070101</v>
          </cell>
          <cell r="N275">
            <v>41.5</v>
          </cell>
        </row>
        <row r="276">
          <cell r="D276" t="str">
            <v>081702070101</v>
          </cell>
          <cell r="N276">
            <v>48.4</v>
          </cell>
        </row>
        <row r="277">
          <cell r="D277" t="str">
            <v>081702070101</v>
          </cell>
          <cell r="N277">
            <v>34</v>
          </cell>
        </row>
        <row r="278">
          <cell r="D278" t="str">
            <v>081702070101</v>
          </cell>
          <cell r="N278">
            <v>34</v>
          </cell>
        </row>
        <row r="279">
          <cell r="D279" t="str">
            <v>081702070101</v>
          </cell>
          <cell r="N279">
            <v>36.4</v>
          </cell>
        </row>
        <row r="280">
          <cell r="D280" t="str">
            <v>081702070101</v>
          </cell>
          <cell r="N280">
            <v>32.6</v>
          </cell>
        </row>
        <row r="281">
          <cell r="D281" t="str">
            <v>081702070101</v>
          </cell>
          <cell r="N281">
            <v>35.4</v>
          </cell>
        </row>
        <row r="282">
          <cell r="D282" t="str">
            <v>081702070101</v>
          </cell>
          <cell r="N282">
            <v>37</v>
          </cell>
        </row>
        <row r="283">
          <cell r="D283" t="str">
            <v>081702070101</v>
          </cell>
          <cell r="N283">
            <v>37.6</v>
          </cell>
        </row>
        <row r="284">
          <cell r="D284" t="str">
            <v>081702070101</v>
          </cell>
          <cell r="N284">
            <v>32.799999999999997</v>
          </cell>
        </row>
        <row r="285">
          <cell r="D285" t="str">
            <v>081702070101</v>
          </cell>
          <cell r="N285">
            <v>39.799999999999997</v>
          </cell>
        </row>
        <row r="286">
          <cell r="D286" t="str">
            <v>081702070101</v>
          </cell>
          <cell r="N286">
            <v>37.200000000000003</v>
          </cell>
        </row>
        <row r="287">
          <cell r="D287" t="str">
            <v>081702070101</v>
          </cell>
          <cell r="N287">
            <v>32.6</v>
          </cell>
        </row>
        <row r="288">
          <cell r="D288" t="str">
            <v>081702070101</v>
          </cell>
          <cell r="N288">
            <v>34.799999999999997</v>
          </cell>
        </row>
        <row r="289">
          <cell r="D289" t="str">
            <v>081702070101</v>
          </cell>
          <cell r="N289">
            <v>38.4</v>
          </cell>
        </row>
        <row r="290">
          <cell r="D290" t="str">
            <v>081702070101</v>
          </cell>
          <cell r="N290">
            <v>30.6</v>
          </cell>
        </row>
        <row r="291">
          <cell r="D291" t="str">
            <v>081702070101</v>
          </cell>
          <cell r="N291">
            <v>32.4</v>
          </cell>
        </row>
        <row r="292">
          <cell r="D292" t="str">
            <v>081702070101</v>
          </cell>
          <cell r="N292">
            <v>13.6</v>
          </cell>
        </row>
        <row r="293">
          <cell r="D293" t="str">
            <v>011101060101</v>
          </cell>
          <cell r="N293">
            <v>36</v>
          </cell>
        </row>
        <row r="294">
          <cell r="D294" t="str">
            <v>011101060101</v>
          </cell>
          <cell r="N294">
            <v>36</v>
          </cell>
        </row>
        <row r="295">
          <cell r="D295" t="str">
            <v>011101060101</v>
          </cell>
          <cell r="N295">
            <v>36</v>
          </cell>
        </row>
        <row r="296">
          <cell r="D296" t="str">
            <v>011101060101</v>
          </cell>
          <cell r="N296">
            <v>36</v>
          </cell>
        </row>
        <row r="297">
          <cell r="D297" t="str">
            <v>011101060101</v>
          </cell>
          <cell r="N297">
            <v>36</v>
          </cell>
        </row>
        <row r="298">
          <cell r="D298" t="str">
            <v>011101060101</v>
          </cell>
          <cell r="N298">
            <v>36</v>
          </cell>
        </row>
        <row r="299">
          <cell r="D299" t="str">
            <v>011101060101</v>
          </cell>
          <cell r="N299">
            <v>36</v>
          </cell>
        </row>
        <row r="300">
          <cell r="D300" t="str">
            <v>011101060101</v>
          </cell>
          <cell r="N300">
            <v>36</v>
          </cell>
        </row>
        <row r="301">
          <cell r="D301" t="str">
            <v>011101060101</v>
          </cell>
          <cell r="N301">
            <v>36</v>
          </cell>
        </row>
        <row r="302">
          <cell r="D302" t="str">
            <v>011101060101</v>
          </cell>
          <cell r="N302">
            <v>36</v>
          </cell>
        </row>
        <row r="303">
          <cell r="D303" t="str">
            <v>011101060101</v>
          </cell>
          <cell r="N303">
            <v>36</v>
          </cell>
        </row>
        <row r="304">
          <cell r="D304" t="str">
            <v>011101060101</v>
          </cell>
          <cell r="N304">
            <v>36</v>
          </cell>
        </row>
        <row r="305">
          <cell r="D305" t="str">
            <v>011101060101</v>
          </cell>
          <cell r="N305">
            <v>36</v>
          </cell>
        </row>
        <row r="306">
          <cell r="D306" t="str">
            <v>011101060101</v>
          </cell>
          <cell r="N306">
            <v>36</v>
          </cell>
        </row>
        <row r="307">
          <cell r="D307" t="str">
            <v>011101060101</v>
          </cell>
          <cell r="N307">
            <v>36</v>
          </cell>
        </row>
        <row r="308">
          <cell r="D308" t="str">
            <v>011101060101</v>
          </cell>
          <cell r="N308">
            <v>36</v>
          </cell>
        </row>
        <row r="309">
          <cell r="D309" t="str">
            <v>011101060101</v>
          </cell>
          <cell r="N309">
            <v>36</v>
          </cell>
        </row>
        <row r="310">
          <cell r="D310" t="str">
            <v>011101060101</v>
          </cell>
          <cell r="N310">
            <v>36</v>
          </cell>
        </row>
        <row r="311">
          <cell r="D311" t="str">
            <v>011101060101</v>
          </cell>
          <cell r="N311">
            <v>36</v>
          </cell>
        </row>
        <row r="312">
          <cell r="D312" t="str">
            <v>011101060101</v>
          </cell>
          <cell r="N312">
            <v>36</v>
          </cell>
        </row>
        <row r="313">
          <cell r="D313" t="str">
            <v>011101060101</v>
          </cell>
          <cell r="N313">
            <v>36</v>
          </cell>
        </row>
        <row r="314">
          <cell r="D314" t="str">
            <v>011101060101</v>
          </cell>
          <cell r="N314">
            <v>36</v>
          </cell>
        </row>
        <row r="315">
          <cell r="D315" t="str">
            <v>011101060101</v>
          </cell>
          <cell r="N315">
            <v>36</v>
          </cell>
        </row>
        <row r="316">
          <cell r="D316" t="str">
            <v>011101060101</v>
          </cell>
          <cell r="N316">
            <v>36</v>
          </cell>
        </row>
        <row r="317">
          <cell r="D317" t="str">
            <v>011101060101</v>
          </cell>
          <cell r="N317">
            <v>36</v>
          </cell>
        </row>
        <row r="318">
          <cell r="D318" t="str">
            <v>011101060101</v>
          </cell>
          <cell r="N318">
            <v>36</v>
          </cell>
        </row>
        <row r="319">
          <cell r="D319" t="str">
            <v>011101060101</v>
          </cell>
          <cell r="N319">
            <v>36</v>
          </cell>
        </row>
        <row r="320">
          <cell r="D320" t="str">
            <v>011101060101</v>
          </cell>
          <cell r="N320">
            <v>36</v>
          </cell>
        </row>
        <row r="321">
          <cell r="D321" t="str">
            <v>011101060101</v>
          </cell>
          <cell r="N321">
            <v>36</v>
          </cell>
        </row>
        <row r="322">
          <cell r="D322" t="str">
            <v>011101060101</v>
          </cell>
          <cell r="N322">
            <v>36</v>
          </cell>
        </row>
        <row r="323">
          <cell r="D323" t="str">
            <v>011101060101</v>
          </cell>
          <cell r="N323">
            <v>36</v>
          </cell>
        </row>
        <row r="324">
          <cell r="D324" t="str">
            <v>011101060101</v>
          </cell>
          <cell r="N324">
            <v>36</v>
          </cell>
        </row>
        <row r="325">
          <cell r="D325" t="str">
            <v>011101060101</v>
          </cell>
          <cell r="N325">
            <v>36</v>
          </cell>
        </row>
        <row r="326">
          <cell r="D326" t="str">
            <v>011101060101</v>
          </cell>
          <cell r="N326">
            <v>36</v>
          </cell>
        </row>
        <row r="327">
          <cell r="D327" t="str">
            <v>011101060101</v>
          </cell>
          <cell r="N327">
            <v>36</v>
          </cell>
        </row>
        <row r="328">
          <cell r="D328" t="str">
            <v>011101060101</v>
          </cell>
          <cell r="N328">
            <v>36</v>
          </cell>
        </row>
        <row r="329">
          <cell r="D329" t="str">
            <v>011101060101</v>
          </cell>
          <cell r="N329">
            <v>36</v>
          </cell>
        </row>
        <row r="330">
          <cell r="D330" t="str">
            <v>011101060101</v>
          </cell>
          <cell r="N330">
            <v>36</v>
          </cell>
        </row>
        <row r="331">
          <cell r="D331" t="str">
            <v>011101060101</v>
          </cell>
          <cell r="N331">
            <v>36</v>
          </cell>
        </row>
        <row r="332">
          <cell r="D332" t="str">
            <v>011101060101</v>
          </cell>
          <cell r="N332">
            <v>36</v>
          </cell>
        </row>
        <row r="333">
          <cell r="D333" t="str">
            <v>011101060101</v>
          </cell>
          <cell r="N333">
            <v>36</v>
          </cell>
        </row>
        <row r="334">
          <cell r="D334" t="str">
            <v>011101060101</v>
          </cell>
          <cell r="N334">
            <v>36</v>
          </cell>
        </row>
        <row r="335">
          <cell r="D335" t="str">
            <v>011101060101</v>
          </cell>
          <cell r="N335">
            <v>36</v>
          </cell>
        </row>
        <row r="336">
          <cell r="D336" t="str">
            <v>011101060101</v>
          </cell>
          <cell r="N336">
            <v>36</v>
          </cell>
        </row>
        <row r="337">
          <cell r="D337" t="str">
            <v>011101060101</v>
          </cell>
          <cell r="N337">
            <v>36</v>
          </cell>
        </row>
        <row r="338">
          <cell r="D338" t="str">
            <v>011101060101</v>
          </cell>
          <cell r="N338">
            <v>36</v>
          </cell>
        </row>
        <row r="339">
          <cell r="D339" t="str">
            <v>011101060101</v>
          </cell>
          <cell r="N339">
            <v>36</v>
          </cell>
        </row>
        <row r="340">
          <cell r="D340" t="str">
            <v>011101060101</v>
          </cell>
          <cell r="N340">
            <v>36</v>
          </cell>
        </row>
        <row r="341">
          <cell r="D341" t="str">
            <v>011101060101</v>
          </cell>
          <cell r="N341">
            <v>36</v>
          </cell>
        </row>
        <row r="342">
          <cell r="D342" t="str">
            <v>011101060101</v>
          </cell>
          <cell r="N342">
            <v>36</v>
          </cell>
        </row>
        <row r="343">
          <cell r="D343" t="str">
            <v>011101060101</v>
          </cell>
          <cell r="N343">
            <v>36</v>
          </cell>
        </row>
        <row r="344">
          <cell r="D344" t="str">
            <v>011101060101</v>
          </cell>
          <cell r="N344">
            <v>36</v>
          </cell>
        </row>
        <row r="345">
          <cell r="D345" t="str">
            <v>011101060101</v>
          </cell>
          <cell r="N345">
            <v>36</v>
          </cell>
        </row>
        <row r="346">
          <cell r="D346" t="str">
            <v>011101060101</v>
          </cell>
          <cell r="N346">
            <v>36</v>
          </cell>
        </row>
        <row r="347">
          <cell r="D347" t="str">
            <v>011101060101</v>
          </cell>
          <cell r="N347">
            <v>36</v>
          </cell>
        </row>
        <row r="348">
          <cell r="D348" t="str">
            <v>011101060101</v>
          </cell>
          <cell r="N348">
            <v>36</v>
          </cell>
        </row>
        <row r="349">
          <cell r="D349" t="str">
            <v>011101060101</v>
          </cell>
          <cell r="N349">
            <v>36</v>
          </cell>
        </row>
        <row r="350">
          <cell r="D350" t="str">
            <v>011101060101</v>
          </cell>
          <cell r="N350">
            <v>36</v>
          </cell>
        </row>
        <row r="351">
          <cell r="D351" t="str">
            <v>011101060101</v>
          </cell>
          <cell r="N351">
            <v>36</v>
          </cell>
        </row>
        <row r="352">
          <cell r="D352" t="str">
            <v>011101060101</v>
          </cell>
          <cell r="N352">
            <v>36</v>
          </cell>
        </row>
        <row r="353">
          <cell r="D353" t="str">
            <v>011101060101</v>
          </cell>
          <cell r="N353">
            <v>36</v>
          </cell>
        </row>
        <row r="354">
          <cell r="D354" t="str">
            <v>011101060101</v>
          </cell>
          <cell r="N354">
            <v>36</v>
          </cell>
        </row>
        <row r="355">
          <cell r="D355" t="str">
            <v>011101060101</v>
          </cell>
          <cell r="N355">
            <v>36</v>
          </cell>
        </row>
        <row r="356">
          <cell r="D356" t="str">
            <v>011101060101</v>
          </cell>
          <cell r="N356">
            <v>36</v>
          </cell>
        </row>
        <row r="357">
          <cell r="D357" t="str">
            <v>011101060101</v>
          </cell>
          <cell r="N357">
            <v>36</v>
          </cell>
        </row>
        <row r="358">
          <cell r="D358" t="str">
            <v>011101060101</v>
          </cell>
          <cell r="N358">
            <v>36</v>
          </cell>
        </row>
        <row r="359">
          <cell r="D359" t="str">
            <v>011101060101</v>
          </cell>
          <cell r="N359">
            <v>36</v>
          </cell>
        </row>
        <row r="360">
          <cell r="D360" t="str">
            <v>011101060101</v>
          </cell>
          <cell r="N360">
            <v>36</v>
          </cell>
        </row>
        <row r="361">
          <cell r="D361" t="str">
            <v>011101060101</v>
          </cell>
          <cell r="N361">
            <v>36</v>
          </cell>
        </row>
        <row r="362">
          <cell r="D362" t="str">
            <v>011101060101</v>
          </cell>
          <cell r="N362">
            <v>36</v>
          </cell>
        </row>
        <row r="363">
          <cell r="D363" t="str">
            <v>011101060101</v>
          </cell>
          <cell r="N363">
            <v>36</v>
          </cell>
        </row>
        <row r="364">
          <cell r="D364" t="str">
            <v>011101060101</v>
          </cell>
          <cell r="N364">
            <v>36</v>
          </cell>
        </row>
        <row r="365">
          <cell r="D365" t="str">
            <v>011101060101</v>
          </cell>
          <cell r="N365">
            <v>36</v>
          </cell>
        </row>
        <row r="366">
          <cell r="D366" t="str">
            <v>011101060101</v>
          </cell>
          <cell r="N366">
            <v>36</v>
          </cell>
        </row>
        <row r="367">
          <cell r="D367" t="str">
            <v>010903060601</v>
          </cell>
          <cell r="N367">
            <v>43.2</v>
          </cell>
        </row>
        <row r="368">
          <cell r="D368" t="str">
            <v>080503070701</v>
          </cell>
          <cell r="N368">
            <v>24</v>
          </cell>
        </row>
        <row r="369">
          <cell r="D369" t="str">
            <v>081103072101</v>
          </cell>
          <cell r="N369">
            <v>36</v>
          </cell>
        </row>
        <row r="370">
          <cell r="D370" t="str">
            <v>081103072101</v>
          </cell>
          <cell r="N370">
            <v>36</v>
          </cell>
        </row>
        <row r="371">
          <cell r="D371" t="str">
            <v>080503070901</v>
          </cell>
          <cell r="N371">
            <v>39.6</v>
          </cell>
        </row>
        <row r="372">
          <cell r="D372" t="str">
            <v>080503071001</v>
          </cell>
          <cell r="N372">
            <v>38.4</v>
          </cell>
        </row>
        <row r="373">
          <cell r="D373" t="str">
            <v>080503071001</v>
          </cell>
          <cell r="N373">
            <v>39.200000000000003</v>
          </cell>
        </row>
        <row r="374">
          <cell r="D374" t="str">
            <v>080503070901</v>
          </cell>
          <cell r="N374">
            <v>35.6</v>
          </cell>
        </row>
        <row r="375">
          <cell r="D375" t="str">
            <v>080503070901</v>
          </cell>
          <cell r="N375">
            <v>22.4</v>
          </cell>
        </row>
        <row r="376">
          <cell r="D376" t="str">
            <v>080503070901</v>
          </cell>
          <cell r="N376">
            <v>11.8</v>
          </cell>
        </row>
        <row r="377">
          <cell r="D377" t="str">
            <v>080503070901</v>
          </cell>
          <cell r="N377">
            <v>38.799999999999997</v>
          </cell>
        </row>
        <row r="378">
          <cell r="D378" t="str">
            <v>080503070901</v>
          </cell>
          <cell r="N378">
            <v>27.6</v>
          </cell>
        </row>
        <row r="379">
          <cell r="D379" t="str">
            <v>080503070901</v>
          </cell>
          <cell r="N379">
            <v>38.4</v>
          </cell>
        </row>
        <row r="380">
          <cell r="D380" t="str">
            <v>080503070901</v>
          </cell>
          <cell r="N380">
            <v>38.6</v>
          </cell>
        </row>
        <row r="381">
          <cell r="D381" t="str">
            <v>080503070901</v>
          </cell>
          <cell r="N381">
            <v>37.799999999999997</v>
          </cell>
        </row>
        <row r="382">
          <cell r="D382" t="str">
            <v>080503070901</v>
          </cell>
          <cell r="N382">
            <v>38.200000000000003</v>
          </cell>
        </row>
        <row r="383">
          <cell r="D383" t="str">
            <v>080503070901</v>
          </cell>
          <cell r="N383">
            <v>39.6</v>
          </cell>
        </row>
        <row r="384">
          <cell r="D384" t="str">
            <v>080503070901</v>
          </cell>
          <cell r="N384">
            <v>39.4</v>
          </cell>
        </row>
        <row r="385">
          <cell r="D385" t="str">
            <v>080503071001</v>
          </cell>
          <cell r="N385">
            <v>40.200000000000003</v>
          </cell>
        </row>
        <row r="386">
          <cell r="D386" t="str">
            <v>080503071001</v>
          </cell>
          <cell r="N386">
            <v>40.4</v>
          </cell>
        </row>
        <row r="387">
          <cell r="D387" t="str">
            <v>080503071001</v>
          </cell>
          <cell r="N387">
            <v>39.200000000000003</v>
          </cell>
        </row>
        <row r="388">
          <cell r="D388" t="str">
            <v>080503071001</v>
          </cell>
          <cell r="N388">
            <v>39</v>
          </cell>
        </row>
        <row r="389">
          <cell r="D389" t="str">
            <v>080503071001</v>
          </cell>
          <cell r="N389">
            <v>41.2</v>
          </cell>
        </row>
        <row r="390">
          <cell r="D390" t="str">
            <v>080503071001</v>
          </cell>
          <cell r="N390">
            <v>39</v>
          </cell>
        </row>
        <row r="391">
          <cell r="D391" t="str">
            <v>081602060701</v>
          </cell>
          <cell r="N391">
            <v>35</v>
          </cell>
        </row>
        <row r="392">
          <cell r="D392" t="str">
            <v>081602060701</v>
          </cell>
          <cell r="N392">
            <v>35</v>
          </cell>
        </row>
        <row r="393">
          <cell r="D393" t="str">
            <v>081602060701</v>
          </cell>
          <cell r="N393">
            <v>35</v>
          </cell>
        </row>
        <row r="394">
          <cell r="D394" t="str">
            <v>081602060701</v>
          </cell>
          <cell r="N394">
            <v>33</v>
          </cell>
        </row>
        <row r="395">
          <cell r="D395" t="str">
            <v>081103072101</v>
          </cell>
          <cell r="N395">
            <v>36</v>
          </cell>
        </row>
        <row r="396">
          <cell r="D396" t="str">
            <v>081103072101</v>
          </cell>
          <cell r="N396">
            <v>36</v>
          </cell>
        </row>
        <row r="397">
          <cell r="D397" t="str">
            <v>081602060701</v>
          </cell>
          <cell r="N397">
            <v>32</v>
          </cell>
        </row>
        <row r="398">
          <cell r="D398"/>
          <cell r="N398"/>
        </row>
        <row r="399">
          <cell r="D399" t="str">
            <v>010402060601</v>
          </cell>
          <cell r="N399">
            <v>41.4</v>
          </cell>
        </row>
        <row r="400">
          <cell r="D400" t="str">
            <v>010402060601</v>
          </cell>
          <cell r="N400">
            <v>43.6</v>
          </cell>
        </row>
        <row r="401">
          <cell r="D401" t="str">
            <v>010402060601</v>
          </cell>
          <cell r="N401">
            <v>42.6</v>
          </cell>
        </row>
        <row r="402">
          <cell r="D402" t="str">
            <v>010402060401</v>
          </cell>
          <cell r="N402">
            <v>35.799999999999997</v>
          </cell>
        </row>
        <row r="403">
          <cell r="D403" t="str">
            <v>010402060401</v>
          </cell>
          <cell r="N403">
            <v>44</v>
          </cell>
        </row>
        <row r="404">
          <cell r="D404" t="str">
            <v>010402060401</v>
          </cell>
          <cell r="N404">
            <v>39</v>
          </cell>
        </row>
        <row r="405">
          <cell r="D405" t="str">
            <v>010402060401</v>
          </cell>
          <cell r="N405">
            <v>40.6</v>
          </cell>
        </row>
        <row r="406">
          <cell r="D406" t="str">
            <v>010402060401</v>
          </cell>
          <cell r="N406">
            <v>40.200000000000003</v>
          </cell>
        </row>
        <row r="407">
          <cell r="D407" t="str">
            <v>010402060401</v>
          </cell>
          <cell r="N407">
            <v>39.799999999999997</v>
          </cell>
        </row>
        <row r="408">
          <cell r="D408" t="str">
            <v>010402060401</v>
          </cell>
          <cell r="N408">
            <v>44.6</v>
          </cell>
        </row>
        <row r="409">
          <cell r="D409" t="str">
            <v>010402060401</v>
          </cell>
          <cell r="N409">
            <v>46</v>
          </cell>
        </row>
        <row r="410">
          <cell r="D410" t="str">
            <v>010402060401</v>
          </cell>
          <cell r="N410">
            <v>46</v>
          </cell>
        </row>
        <row r="411">
          <cell r="D411" t="str">
            <v>010402060401</v>
          </cell>
          <cell r="N411">
            <v>46.6</v>
          </cell>
        </row>
        <row r="412">
          <cell r="D412" t="str">
            <v>010402060401</v>
          </cell>
          <cell r="N412">
            <v>38.6</v>
          </cell>
        </row>
        <row r="413">
          <cell r="D413" t="str">
            <v>010402060401</v>
          </cell>
          <cell r="N413">
            <v>41.8</v>
          </cell>
        </row>
        <row r="414">
          <cell r="D414" t="str">
            <v>010402060601</v>
          </cell>
          <cell r="N414">
            <v>42</v>
          </cell>
        </row>
        <row r="415">
          <cell r="D415" t="str">
            <v>010402060401</v>
          </cell>
          <cell r="N415">
            <v>43.2</v>
          </cell>
        </row>
        <row r="416">
          <cell r="D416" t="str">
            <v>010402060401</v>
          </cell>
          <cell r="N416">
            <v>46.6</v>
          </cell>
        </row>
        <row r="417">
          <cell r="D417" t="str">
            <v>010402060401</v>
          </cell>
          <cell r="N417">
            <v>44.2</v>
          </cell>
        </row>
        <row r="418">
          <cell r="D418" t="str">
            <v>010402060401</v>
          </cell>
          <cell r="N418">
            <v>42.4</v>
          </cell>
        </row>
        <row r="419">
          <cell r="D419" t="str">
            <v>010402060401</v>
          </cell>
          <cell r="N419">
            <v>41.4</v>
          </cell>
        </row>
        <row r="420">
          <cell r="D420" t="str">
            <v>010402060401</v>
          </cell>
          <cell r="N420">
            <v>42.6</v>
          </cell>
        </row>
        <row r="421">
          <cell r="D421" t="str">
            <v>010402060401</v>
          </cell>
          <cell r="N421">
            <v>43.8</v>
          </cell>
        </row>
        <row r="422">
          <cell r="D422" t="str">
            <v>010402060401</v>
          </cell>
          <cell r="N422">
            <v>41.2</v>
          </cell>
        </row>
        <row r="423">
          <cell r="D423" t="str">
            <v>010402060401</v>
          </cell>
          <cell r="N423">
            <v>43.2</v>
          </cell>
        </row>
        <row r="424">
          <cell r="D424" t="str">
            <v>010402060601</v>
          </cell>
          <cell r="N424">
            <v>43.4</v>
          </cell>
        </row>
        <row r="425">
          <cell r="D425" t="str">
            <v>010402060601</v>
          </cell>
          <cell r="N425">
            <v>44.8</v>
          </cell>
        </row>
        <row r="426">
          <cell r="D426" t="str">
            <v>010402060601</v>
          </cell>
          <cell r="N426">
            <v>42</v>
          </cell>
        </row>
        <row r="427">
          <cell r="D427" t="str">
            <v>010402060401</v>
          </cell>
          <cell r="N427">
            <v>26.4</v>
          </cell>
        </row>
        <row r="428">
          <cell r="D428" t="str">
            <v>011004073701</v>
          </cell>
          <cell r="N428">
            <v>29.4</v>
          </cell>
        </row>
        <row r="429">
          <cell r="D429" t="str">
            <v>011004073701</v>
          </cell>
          <cell r="N429">
            <v>29.2</v>
          </cell>
        </row>
        <row r="430">
          <cell r="D430" t="str">
            <v>011004073701</v>
          </cell>
          <cell r="N430">
            <v>29.4</v>
          </cell>
        </row>
        <row r="431">
          <cell r="D431" t="str">
            <v>011004073701</v>
          </cell>
          <cell r="N431">
            <v>29</v>
          </cell>
        </row>
        <row r="432">
          <cell r="D432" t="str">
            <v>011004073701</v>
          </cell>
          <cell r="N432">
            <v>29</v>
          </cell>
        </row>
        <row r="433">
          <cell r="D433" t="str">
            <v>011004073701</v>
          </cell>
          <cell r="N433">
            <v>29</v>
          </cell>
        </row>
        <row r="434">
          <cell r="D434" t="str">
            <v>011004073701</v>
          </cell>
          <cell r="N434">
            <v>29</v>
          </cell>
        </row>
        <row r="435">
          <cell r="D435" t="str">
            <v>011004073701</v>
          </cell>
          <cell r="N435">
            <v>29.2</v>
          </cell>
        </row>
        <row r="436">
          <cell r="D436" t="str">
            <v>011004073701</v>
          </cell>
          <cell r="N436">
            <v>29</v>
          </cell>
        </row>
        <row r="437">
          <cell r="D437" t="str">
            <v>011004073701</v>
          </cell>
          <cell r="N437">
            <v>29</v>
          </cell>
        </row>
        <row r="438">
          <cell r="D438" t="str">
            <v>011004073701</v>
          </cell>
          <cell r="N438">
            <v>29</v>
          </cell>
        </row>
        <row r="439">
          <cell r="D439" t="str">
            <v>011004073701</v>
          </cell>
          <cell r="N439">
            <v>29</v>
          </cell>
        </row>
        <row r="440">
          <cell r="D440" t="str">
            <v>011004073701</v>
          </cell>
          <cell r="N440">
            <v>29</v>
          </cell>
        </row>
        <row r="441">
          <cell r="D441" t="str">
            <v>011004073701</v>
          </cell>
          <cell r="N441">
            <v>29</v>
          </cell>
        </row>
        <row r="442">
          <cell r="D442" t="str">
            <v>011004073701</v>
          </cell>
          <cell r="N442">
            <v>28.8</v>
          </cell>
        </row>
        <row r="443">
          <cell r="D443" t="str">
            <v>011004073701</v>
          </cell>
          <cell r="N443">
            <v>29</v>
          </cell>
        </row>
        <row r="444">
          <cell r="D444" t="str">
            <v>011004073701</v>
          </cell>
          <cell r="N444">
            <v>29</v>
          </cell>
        </row>
        <row r="445">
          <cell r="D445" t="str">
            <v>011004073701</v>
          </cell>
          <cell r="N445">
            <v>28.8</v>
          </cell>
        </row>
        <row r="446">
          <cell r="D446" t="str">
            <v>011004073701</v>
          </cell>
          <cell r="N446">
            <v>29</v>
          </cell>
        </row>
        <row r="447">
          <cell r="D447" t="str">
            <v>011004073701</v>
          </cell>
          <cell r="N447">
            <v>29</v>
          </cell>
        </row>
        <row r="448">
          <cell r="D448" t="str">
            <v>011004073701</v>
          </cell>
          <cell r="N448">
            <v>29</v>
          </cell>
        </row>
        <row r="449">
          <cell r="D449" t="str">
            <v>011004073701</v>
          </cell>
          <cell r="N449">
            <v>29.2</v>
          </cell>
        </row>
        <row r="450">
          <cell r="D450" t="str">
            <v>011004073701</v>
          </cell>
          <cell r="N450">
            <v>29.2</v>
          </cell>
        </row>
        <row r="451">
          <cell r="D451" t="str">
            <v>011004073701</v>
          </cell>
          <cell r="N451">
            <v>29</v>
          </cell>
        </row>
        <row r="452">
          <cell r="D452" t="str">
            <v>011004073701</v>
          </cell>
          <cell r="N452">
            <v>29</v>
          </cell>
        </row>
        <row r="453">
          <cell r="D453" t="str">
            <v>011004073701</v>
          </cell>
          <cell r="N453">
            <v>29</v>
          </cell>
        </row>
        <row r="454">
          <cell r="D454" t="str">
            <v>011604071901</v>
          </cell>
          <cell r="N454">
            <v>30</v>
          </cell>
        </row>
        <row r="455">
          <cell r="D455"/>
          <cell r="N455"/>
        </row>
        <row r="456">
          <cell r="D456" t="str">
            <v>011604071901</v>
          </cell>
          <cell r="N456">
            <v>30</v>
          </cell>
        </row>
        <row r="457">
          <cell r="D457" t="str">
            <v>011604071901</v>
          </cell>
          <cell r="N457">
            <v>30</v>
          </cell>
        </row>
        <row r="458">
          <cell r="D458" t="str">
            <v>011604071901</v>
          </cell>
          <cell r="N458">
            <v>30</v>
          </cell>
        </row>
        <row r="459">
          <cell r="D459" t="str">
            <v>011604071901</v>
          </cell>
          <cell r="N459">
            <v>30</v>
          </cell>
        </row>
        <row r="460">
          <cell r="D460" t="str">
            <v>011604071901</v>
          </cell>
          <cell r="N460">
            <v>30</v>
          </cell>
        </row>
        <row r="461">
          <cell r="D461" t="str">
            <v>011604071901</v>
          </cell>
          <cell r="N461">
            <v>19</v>
          </cell>
        </row>
        <row r="462">
          <cell r="D462" t="str">
            <v>011103060101</v>
          </cell>
          <cell r="N462">
            <v>36</v>
          </cell>
        </row>
        <row r="463">
          <cell r="D463" t="str">
            <v>011103060101</v>
          </cell>
          <cell r="N463">
            <v>34</v>
          </cell>
        </row>
        <row r="464">
          <cell r="D464" t="str">
            <v>011103060101</v>
          </cell>
          <cell r="N464">
            <v>36</v>
          </cell>
        </row>
        <row r="465">
          <cell r="D465" t="str">
            <v>011103060101</v>
          </cell>
          <cell r="N465">
            <v>36</v>
          </cell>
        </row>
        <row r="466">
          <cell r="D466" t="str">
            <v>011103060101</v>
          </cell>
          <cell r="N466">
            <v>38</v>
          </cell>
        </row>
        <row r="467">
          <cell r="D467" t="str">
            <v>011103060101</v>
          </cell>
          <cell r="N467">
            <v>36</v>
          </cell>
        </row>
        <row r="468">
          <cell r="D468" t="str">
            <v>011604071901</v>
          </cell>
          <cell r="N468">
            <v>30</v>
          </cell>
        </row>
        <row r="469">
          <cell r="D469"/>
          <cell r="N469"/>
        </row>
        <row r="470">
          <cell r="D470" t="str">
            <v>011101060101</v>
          </cell>
          <cell r="N470">
            <v>36</v>
          </cell>
        </row>
        <row r="471">
          <cell r="D471" t="str">
            <v>011101060101</v>
          </cell>
          <cell r="N471">
            <v>36</v>
          </cell>
        </row>
        <row r="472">
          <cell r="D472" t="str">
            <v>011101060101</v>
          </cell>
          <cell r="N472">
            <v>36</v>
          </cell>
        </row>
        <row r="473">
          <cell r="D473" t="str">
            <v>011103060101</v>
          </cell>
          <cell r="N473">
            <v>36</v>
          </cell>
        </row>
        <row r="474">
          <cell r="D474"/>
          <cell r="N474"/>
        </row>
        <row r="475">
          <cell r="D475"/>
          <cell r="N475"/>
        </row>
        <row r="476">
          <cell r="D476"/>
          <cell r="N476"/>
        </row>
        <row r="477">
          <cell r="D477" t="str">
            <v>010602060701</v>
          </cell>
          <cell r="N477">
            <v>50.4</v>
          </cell>
        </row>
        <row r="478">
          <cell r="D478" t="str">
            <v>011004073701</v>
          </cell>
          <cell r="N478">
            <v>29</v>
          </cell>
        </row>
        <row r="479">
          <cell r="D479" t="str">
            <v>011004073701</v>
          </cell>
          <cell r="N479">
            <v>29</v>
          </cell>
        </row>
        <row r="480">
          <cell r="D480" t="str">
            <v>011004073701</v>
          </cell>
          <cell r="N480">
            <v>30.2</v>
          </cell>
        </row>
        <row r="481">
          <cell r="D481" t="str">
            <v>011004073701</v>
          </cell>
          <cell r="N481">
            <v>29.4</v>
          </cell>
        </row>
        <row r="482">
          <cell r="D482" t="str">
            <v>011004073701</v>
          </cell>
          <cell r="N482">
            <v>30</v>
          </cell>
        </row>
        <row r="483">
          <cell r="D483" t="str">
            <v>011004073701</v>
          </cell>
          <cell r="N483">
            <v>29.4</v>
          </cell>
        </row>
        <row r="484">
          <cell r="D484" t="str">
            <v>011004073701</v>
          </cell>
          <cell r="N484">
            <v>29</v>
          </cell>
        </row>
        <row r="485">
          <cell r="D485" t="str">
            <v>011004073701</v>
          </cell>
          <cell r="N485">
            <v>29.6</v>
          </cell>
        </row>
        <row r="486">
          <cell r="D486" t="str">
            <v>011004073701</v>
          </cell>
          <cell r="N486">
            <v>29</v>
          </cell>
        </row>
        <row r="487">
          <cell r="D487" t="str">
            <v>011004073701</v>
          </cell>
          <cell r="N487">
            <v>29</v>
          </cell>
        </row>
        <row r="488">
          <cell r="D488" t="str">
            <v>010904060601</v>
          </cell>
          <cell r="N488">
            <v>34</v>
          </cell>
        </row>
        <row r="489">
          <cell r="D489"/>
          <cell r="N489"/>
        </row>
        <row r="490">
          <cell r="D490" t="str">
            <v>020102010101</v>
          </cell>
          <cell r="N490">
            <v>44.6</v>
          </cell>
        </row>
        <row r="491">
          <cell r="D491" t="str">
            <v>031502010101</v>
          </cell>
          <cell r="N491">
            <v>35.200000000000003</v>
          </cell>
        </row>
        <row r="492">
          <cell r="D492" t="str">
            <v>031502010101</v>
          </cell>
          <cell r="N492">
            <v>41</v>
          </cell>
        </row>
        <row r="493">
          <cell r="D493" t="str">
            <v>031502010101</v>
          </cell>
          <cell r="N493">
            <v>44</v>
          </cell>
        </row>
        <row r="494">
          <cell r="D494" t="str">
            <v>031502010101</v>
          </cell>
          <cell r="N494">
            <v>37.4</v>
          </cell>
        </row>
        <row r="495">
          <cell r="D495" t="str">
            <v>031502010101</v>
          </cell>
          <cell r="N495">
            <v>44.2</v>
          </cell>
        </row>
        <row r="496">
          <cell r="D496" t="str">
            <v>031502010101</v>
          </cell>
          <cell r="N496">
            <v>38.200000000000003</v>
          </cell>
        </row>
        <row r="497">
          <cell r="D497" t="str">
            <v>031502010101</v>
          </cell>
          <cell r="N497">
            <v>42.6</v>
          </cell>
        </row>
        <row r="498">
          <cell r="D498" t="str">
            <v>082102010101</v>
          </cell>
          <cell r="N498">
            <v>23</v>
          </cell>
        </row>
        <row r="499">
          <cell r="D499" t="str">
            <v>082102010101</v>
          </cell>
          <cell r="N499">
            <v>30</v>
          </cell>
        </row>
        <row r="500">
          <cell r="D500" t="str">
            <v>082102010101</v>
          </cell>
          <cell r="N500">
            <v>29.4</v>
          </cell>
        </row>
        <row r="501">
          <cell r="D501" t="str">
            <v>081302070101</v>
          </cell>
          <cell r="N501">
            <v>44.9</v>
          </cell>
        </row>
        <row r="502">
          <cell r="D502" t="str">
            <v>010803060101</v>
          </cell>
          <cell r="N502">
            <v>37.799999999999997</v>
          </cell>
        </row>
        <row r="503">
          <cell r="D503" t="str">
            <v>010802060101</v>
          </cell>
          <cell r="N503">
            <v>37.6</v>
          </cell>
        </row>
        <row r="504">
          <cell r="D504" t="str">
            <v>010802060101</v>
          </cell>
          <cell r="N504">
            <v>32.4</v>
          </cell>
        </row>
        <row r="505">
          <cell r="D505" t="str">
            <v>010803060101</v>
          </cell>
          <cell r="N505">
            <v>43</v>
          </cell>
        </row>
        <row r="506">
          <cell r="D506" t="str">
            <v>010803060101</v>
          </cell>
          <cell r="N506">
            <v>41.6</v>
          </cell>
        </row>
        <row r="507">
          <cell r="D507" t="str">
            <v>010803060101</v>
          </cell>
          <cell r="N507">
            <v>41.6</v>
          </cell>
        </row>
        <row r="508">
          <cell r="D508" t="str">
            <v>010803060101</v>
          </cell>
          <cell r="N508">
            <v>37.6</v>
          </cell>
        </row>
        <row r="509">
          <cell r="D509" t="str">
            <v>010803060101</v>
          </cell>
          <cell r="N509">
            <v>38.4</v>
          </cell>
        </row>
        <row r="510">
          <cell r="D510" t="str">
            <v>010803060101</v>
          </cell>
          <cell r="N510">
            <v>38</v>
          </cell>
        </row>
        <row r="511">
          <cell r="D511" t="str">
            <v>010803060101</v>
          </cell>
          <cell r="N511">
            <v>37.4</v>
          </cell>
        </row>
        <row r="512">
          <cell r="D512" t="str">
            <v>010803060101</v>
          </cell>
          <cell r="N512">
            <v>38.799999999999997</v>
          </cell>
        </row>
        <row r="513">
          <cell r="D513" t="str">
            <v>010803060101</v>
          </cell>
          <cell r="N513">
            <v>41.2</v>
          </cell>
        </row>
        <row r="514">
          <cell r="D514" t="str">
            <v>010803060101</v>
          </cell>
          <cell r="N514">
            <v>36.4</v>
          </cell>
        </row>
        <row r="515">
          <cell r="D515" t="str">
            <v>010803060101</v>
          </cell>
          <cell r="N515">
            <v>29.8</v>
          </cell>
        </row>
        <row r="516">
          <cell r="D516" t="str">
            <v>010803060101</v>
          </cell>
          <cell r="N516">
            <v>31.2</v>
          </cell>
        </row>
        <row r="517">
          <cell r="D517" t="str">
            <v>010803060101</v>
          </cell>
          <cell r="N517">
            <v>37.6</v>
          </cell>
        </row>
        <row r="518">
          <cell r="D518" t="str">
            <v>010803060101</v>
          </cell>
          <cell r="N518">
            <v>30.6</v>
          </cell>
        </row>
        <row r="519">
          <cell r="D519" t="str">
            <v>010803060101</v>
          </cell>
          <cell r="N519">
            <v>29</v>
          </cell>
        </row>
        <row r="520">
          <cell r="D520" t="str">
            <v>010803060101</v>
          </cell>
          <cell r="N520">
            <v>32.200000000000003</v>
          </cell>
        </row>
        <row r="521">
          <cell r="D521" t="str">
            <v>010803060101</v>
          </cell>
          <cell r="N521">
            <v>29.4</v>
          </cell>
        </row>
        <row r="522">
          <cell r="D522" t="str">
            <v>010803060101</v>
          </cell>
          <cell r="N522">
            <v>31</v>
          </cell>
        </row>
        <row r="523">
          <cell r="D523" t="str">
            <v>010803060101</v>
          </cell>
          <cell r="N523">
            <v>31.4</v>
          </cell>
        </row>
        <row r="524">
          <cell r="D524" t="str">
            <v>010803060101</v>
          </cell>
          <cell r="N524">
            <v>29.4</v>
          </cell>
        </row>
        <row r="525">
          <cell r="D525" t="str">
            <v>010803060101</v>
          </cell>
          <cell r="N525">
            <v>31.6</v>
          </cell>
        </row>
        <row r="526">
          <cell r="D526" t="str">
            <v>010803060101</v>
          </cell>
          <cell r="N526">
            <v>31</v>
          </cell>
        </row>
        <row r="527">
          <cell r="D527" t="str">
            <v>010803060101</v>
          </cell>
          <cell r="N527">
            <v>33</v>
          </cell>
        </row>
        <row r="528">
          <cell r="D528" t="str">
            <v>010803060101</v>
          </cell>
          <cell r="N528">
            <v>33.4</v>
          </cell>
        </row>
        <row r="529">
          <cell r="D529" t="str">
            <v>010803060101</v>
          </cell>
          <cell r="N529">
            <v>36.4</v>
          </cell>
        </row>
        <row r="530">
          <cell r="D530" t="str">
            <v>010803060101</v>
          </cell>
          <cell r="N530">
            <v>30.6</v>
          </cell>
        </row>
        <row r="531">
          <cell r="D531" t="str">
            <v>010803060101</v>
          </cell>
          <cell r="N531">
            <v>33.4</v>
          </cell>
        </row>
        <row r="532">
          <cell r="D532" t="str">
            <v>010803060101</v>
          </cell>
          <cell r="N532">
            <v>32.4</v>
          </cell>
        </row>
        <row r="533">
          <cell r="D533" t="str">
            <v>010803060101</v>
          </cell>
          <cell r="N533">
            <v>37.700000000000003</v>
          </cell>
        </row>
        <row r="534">
          <cell r="D534" t="str">
            <v>010803060101</v>
          </cell>
          <cell r="N534">
            <v>34.799999999999997</v>
          </cell>
        </row>
        <row r="535">
          <cell r="D535" t="str">
            <v>010803060101</v>
          </cell>
          <cell r="N535">
            <v>33.200000000000003</v>
          </cell>
        </row>
        <row r="536">
          <cell r="D536" t="str">
            <v>010803060101</v>
          </cell>
          <cell r="N536">
            <v>40.6</v>
          </cell>
        </row>
        <row r="537">
          <cell r="D537" t="str">
            <v>010803060101</v>
          </cell>
          <cell r="N537">
            <v>46.8</v>
          </cell>
        </row>
        <row r="538">
          <cell r="D538" t="str">
            <v>010803060101</v>
          </cell>
          <cell r="N538">
            <v>33</v>
          </cell>
        </row>
        <row r="539">
          <cell r="D539" t="str">
            <v>010803060101</v>
          </cell>
          <cell r="N539">
            <v>32.4</v>
          </cell>
        </row>
        <row r="540">
          <cell r="D540" t="str">
            <v>010803060101</v>
          </cell>
          <cell r="N540">
            <v>36</v>
          </cell>
        </row>
        <row r="541">
          <cell r="D541" t="str">
            <v>010803060101</v>
          </cell>
          <cell r="N541">
            <v>35.6</v>
          </cell>
        </row>
        <row r="542">
          <cell r="D542" t="str">
            <v>010803060101</v>
          </cell>
          <cell r="N542">
            <v>34.799999999999997</v>
          </cell>
        </row>
        <row r="543">
          <cell r="D543" t="str">
            <v>010803060101</v>
          </cell>
          <cell r="N543">
            <v>32.799999999999997</v>
          </cell>
        </row>
        <row r="544">
          <cell r="D544" t="str">
            <v>010803060101</v>
          </cell>
          <cell r="N544">
            <v>37.200000000000003</v>
          </cell>
        </row>
        <row r="545">
          <cell r="D545" t="str">
            <v>010803060101</v>
          </cell>
          <cell r="N545">
            <v>35.200000000000003</v>
          </cell>
        </row>
        <row r="546">
          <cell r="D546" t="str">
            <v>010803060101</v>
          </cell>
          <cell r="N546">
            <v>41.4</v>
          </cell>
        </row>
        <row r="547">
          <cell r="D547" t="str">
            <v>010803060101</v>
          </cell>
          <cell r="N547">
            <v>43</v>
          </cell>
        </row>
        <row r="548">
          <cell r="D548" t="str">
            <v>010803060101</v>
          </cell>
          <cell r="N548">
            <v>40.200000000000003</v>
          </cell>
        </row>
        <row r="549">
          <cell r="D549" t="str">
            <v>010803060101</v>
          </cell>
          <cell r="N549">
            <v>41</v>
          </cell>
        </row>
        <row r="550">
          <cell r="D550" t="str">
            <v>010803060101</v>
          </cell>
          <cell r="N550">
            <v>41.8</v>
          </cell>
        </row>
        <row r="551">
          <cell r="D551" t="str">
            <v>010803060101</v>
          </cell>
          <cell r="N551">
            <v>32.6</v>
          </cell>
        </row>
        <row r="552">
          <cell r="D552" t="str">
            <v>010803060101</v>
          </cell>
          <cell r="N552">
            <v>34.200000000000003</v>
          </cell>
        </row>
        <row r="553">
          <cell r="D553" t="str">
            <v>010803060101</v>
          </cell>
          <cell r="N553">
            <v>32.200000000000003</v>
          </cell>
        </row>
        <row r="554">
          <cell r="D554" t="str">
            <v>010803060101</v>
          </cell>
          <cell r="N554">
            <v>34.6</v>
          </cell>
        </row>
        <row r="555">
          <cell r="D555" t="str">
            <v>010803060101</v>
          </cell>
          <cell r="N555">
            <v>35.799999999999997</v>
          </cell>
        </row>
        <row r="556">
          <cell r="D556" t="str">
            <v>010803060101</v>
          </cell>
          <cell r="N556">
            <v>38.799999999999997</v>
          </cell>
        </row>
        <row r="557">
          <cell r="D557" t="str">
            <v>010803060101</v>
          </cell>
          <cell r="N557">
            <v>34</v>
          </cell>
        </row>
        <row r="558">
          <cell r="D558" t="str">
            <v>010803060101</v>
          </cell>
          <cell r="N558">
            <v>28.8</v>
          </cell>
        </row>
        <row r="559">
          <cell r="D559" t="str">
            <v>010803060101</v>
          </cell>
          <cell r="N559">
            <v>32.799999999999997</v>
          </cell>
        </row>
        <row r="560">
          <cell r="D560" t="str">
            <v>010803060101</v>
          </cell>
          <cell r="N560">
            <v>39.200000000000003</v>
          </cell>
        </row>
        <row r="561">
          <cell r="D561" t="str">
            <v>010803060101</v>
          </cell>
          <cell r="N561">
            <v>34.799999999999997</v>
          </cell>
        </row>
        <row r="562">
          <cell r="D562" t="str">
            <v>010803060101</v>
          </cell>
          <cell r="N562">
            <v>28.6</v>
          </cell>
        </row>
        <row r="563">
          <cell r="D563" t="str">
            <v>010803060101</v>
          </cell>
          <cell r="N563">
            <v>27.6</v>
          </cell>
        </row>
        <row r="564">
          <cell r="D564" t="str">
            <v>010803060101</v>
          </cell>
          <cell r="N564">
            <v>30.8</v>
          </cell>
        </row>
        <row r="565">
          <cell r="D565" t="str">
            <v>010803060101</v>
          </cell>
          <cell r="N565">
            <v>40.6</v>
          </cell>
        </row>
        <row r="566">
          <cell r="D566" t="str">
            <v>010803060101</v>
          </cell>
          <cell r="N566">
            <v>34</v>
          </cell>
        </row>
        <row r="567">
          <cell r="D567" t="str">
            <v>010602060701</v>
          </cell>
          <cell r="N567">
            <v>38.4</v>
          </cell>
        </row>
        <row r="568">
          <cell r="D568" t="str">
            <v>010802060101</v>
          </cell>
          <cell r="N568">
            <v>31.2</v>
          </cell>
        </row>
        <row r="569">
          <cell r="D569" t="str">
            <v>010802060101</v>
          </cell>
          <cell r="N569">
            <v>24.2</v>
          </cell>
        </row>
        <row r="570">
          <cell r="D570" t="str">
            <v>010802060101</v>
          </cell>
          <cell r="N570">
            <v>35.6</v>
          </cell>
        </row>
        <row r="571">
          <cell r="D571" t="str">
            <v>010802060101</v>
          </cell>
          <cell r="N571">
            <v>31.4</v>
          </cell>
        </row>
        <row r="572">
          <cell r="D572" t="str">
            <v>010802060101</v>
          </cell>
          <cell r="N572">
            <v>35.6</v>
          </cell>
        </row>
        <row r="573">
          <cell r="D573" t="str">
            <v>010802060101</v>
          </cell>
          <cell r="N573">
            <v>31.8</v>
          </cell>
        </row>
        <row r="574">
          <cell r="D574" t="str">
            <v>010802060101</v>
          </cell>
          <cell r="N574">
            <v>35</v>
          </cell>
        </row>
        <row r="575">
          <cell r="D575" t="str">
            <v>010802060101</v>
          </cell>
          <cell r="N575">
            <v>30.2</v>
          </cell>
        </row>
        <row r="576">
          <cell r="D576" t="str">
            <v>010802060101</v>
          </cell>
          <cell r="N576">
            <v>31.6</v>
          </cell>
        </row>
        <row r="577">
          <cell r="D577" t="str">
            <v>010802060101</v>
          </cell>
          <cell r="N577">
            <v>30.8</v>
          </cell>
        </row>
        <row r="578">
          <cell r="D578" t="str">
            <v>010602060701</v>
          </cell>
          <cell r="N578">
            <v>39.200000000000003</v>
          </cell>
        </row>
        <row r="579">
          <cell r="D579" t="str">
            <v>010602060701</v>
          </cell>
          <cell r="N579">
            <v>40</v>
          </cell>
        </row>
        <row r="580">
          <cell r="D580" t="str">
            <v>010802060101</v>
          </cell>
          <cell r="N580">
            <v>36.4</v>
          </cell>
        </row>
        <row r="581">
          <cell r="D581" t="str">
            <v>010602060701</v>
          </cell>
          <cell r="N581">
            <v>43.2</v>
          </cell>
        </row>
        <row r="582">
          <cell r="D582" t="str">
            <v>010802060101</v>
          </cell>
          <cell r="N582">
            <v>25</v>
          </cell>
        </row>
        <row r="583">
          <cell r="D583" t="str">
            <v>010802060101</v>
          </cell>
          <cell r="N583">
            <v>30.6</v>
          </cell>
        </row>
        <row r="584">
          <cell r="D584" t="str">
            <v>010802060101</v>
          </cell>
          <cell r="N584">
            <v>32.799999999999997</v>
          </cell>
        </row>
        <row r="585">
          <cell r="D585" t="str">
            <v>010802060101</v>
          </cell>
          <cell r="N585">
            <v>34.200000000000003</v>
          </cell>
        </row>
        <row r="586">
          <cell r="D586" t="str">
            <v>010602060701</v>
          </cell>
          <cell r="N586">
            <v>40.4</v>
          </cell>
        </row>
        <row r="587">
          <cell r="D587" t="str">
            <v>010802060101</v>
          </cell>
          <cell r="N587">
            <v>25.4</v>
          </cell>
        </row>
        <row r="588">
          <cell r="D588" t="str">
            <v>010802060101</v>
          </cell>
          <cell r="N588">
            <v>25.8</v>
          </cell>
        </row>
        <row r="589">
          <cell r="D589" t="str">
            <v>010802060101</v>
          </cell>
          <cell r="N589">
            <v>32.200000000000003</v>
          </cell>
        </row>
        <row r="590">
          <cell r="D590" t="str">
            <v>010802060101</v>
          </cell>
          <cell r="N590">
            <v>29.6</v>
          </cell>
        </row>
        <row r="591">
          <cell r="D591" t="str">
            <v>010802060101</v>
          </cell>
          <cell r="N591">
            <v>29.8</v>
          </cell>
        </row>
        <row r="592">
          <cell r="D592" t="str">
            <v>010802060101</v>
          </cell>
          <cell r="N592">
            <v>30</v>
          </cell>
        </row>
        <row r="593">
          <cell r="D593" t="str">
            <v>010802060101</v>
          </cell>
          <cell r="N593">
            <v>31</v>
          </cell>
        </row>
        <row r="594">
          <cell r="D594" t="str">
            <v>010802060101</v>
          </cell>
          <cell r="N594">
            <v>25.8</v>
          </cell>
        </row>
        <row r="595">
          <cell r="D595" t="str">
            <v>010802060101</v>
          </cell>
          <cell r="N595">
            <v>34.799999999999997</v>
          </cell>
        </row>
        <row r="596">
          <cell r="D596" t="str">
            <v>010802060101</v>
          </cell>
          <cell r="N596">
            <v>26.2</v>
          </cell>
        </row>
        <row r="597">
          <cell r="D597" t="str">
            <v>010802060101</v>
          </cell>
          <cell r="N597">
            <v>24.8</v>
          </cell>
        </row>
        <row r="598">
          <cell r="D598" t="str">
            <v>010802060101</v>
          </cell>
          <cell r="N598">
            <v>27.6</v>
          </cell>
        </row>
        <row r="599">
          <cell r="D599" t="str">
            <v>010802060101</v>
          </cell>
          <cell r="N599">
            <v>32.4</v>
          </cell>
        </row>
        <row r="600">
          <cell r="D600" t="str">
            <v>010802060101</v>
          </cell>
          <cell r="N600">
            <v>33.4</v>
          </cell>
        </row>
        <row r="601">
          <cell r="D601" t="str">
            <v>010802060101</v>
          </cell>
          <cell r="N601">
            <v>28.4</v>
          </cell>
        </row>
        <row r="602">
          <cell r="D602" t="str">
            <v>010802060101</v>
          </cell>
          <cell r="N602">
            <v>27.6</v>
          </cell>
        </row>
        <row r="603">
          <cell r="D603" t="str">
            <v>010802060101</v>
          </cell>
          <cell r="N603">
            <v>29.2</v>
          </cell>
        </row>
        <row r="604">
          <cell r="D604" t="str">
            <v>010802060101</v>
          </cell>
          <cell r="N604">
            <v>34.200000000000003</v>
          </cell>
        </row>
        <row r="605">
          <cell r="D605" t="str">
            <v>010802060101</v>
          </cell>
          <cell r="N605">
            <v>28.8</v>
          </cell>
        </row>
        <row r="606">
          <cell r="D606" t="str">
            <v>010802060101</v>
          </cell>
          <cell r="N606">
            <v>28.6</v>
          </cell>
        </row>
        <row r="607">
          <cell r="D607" t="str">
            <v>010802060101</v>
          </cell>
          <cell r="N607">
            <v>29</v>
          </cell>
        </row>
        <row r="608">
          <cell r="D608" t="str">
            <v>010802060101</v>
          </cell>
          <cell r="N608">
            <v>27.4</v>
          </cell>
        </row>
        <row r="609">
          <cell r="D609" t="str">
            <v>010802060101</v>
          </cell>
          <cell r="N609">
            <v>28.6</v>
          </cell>
        </row>
        <row r="610">
          <cell r="D610" t="str">
            <v>010802060101</v>
          </cell>
          <cell r="N610">
            <v>31.8</v>
          </cell>
        </row>
        <row r="611">
          <cell r="D611" t="str">
            <v>010802060101</v>
          </cell>
          <cell r="N611">
            <v>27.8</v>
          </cell>
        </row>
        <row r="612">
          <cell r="D612" t="str">
            <v>010802060101</v>
          </cell>
          <cell r="N612">
            <v>29.2</v>
          </cell>
        </row>
        <row r="613">
          <cell r="D613" t="str">
            <v>010802060101</v>
          </cell>
          <cell r="N613">
            <v>34.6</v>
          </cell>
        </row>
        <row r="614">
          <cell r="D614" t="str">
            <v>010802060101</v>
          </cell>
          <cell r="N614">
            <v>29.8</v>
          </cell>
        </row>
        <row r="615">
          <cell r="D615" t="str">
            <v>010802060101</v>
          </cell>
          <cell r="N615">
            <v>31.6</v>
          </cell>
        </row>
        <row r="616">
          <cell r="D616" t="str">
            <v>010802060101</v>
          </cell>
          <cell r="N616">
            <v>29.6</v>
          </cell>
        </row>
        <row r="617">
          <cell r="D617" t="str">
            <v>010802060101</v>
          </cell>
          <cell r="N617">
            <v>30.2</v>
          </cell>
        </row>
        <row r="618">
          <cell r="D618" t="str">
            <v>010802060101</v>
          </cell>
          <cell r="N618">
            <v>30</v>
          </cell>
        </row>
        <row r="619">
          <cell r="D619" t="str">
            <v>010802060101</v>
          </cell>
          <cell r="N619">
            <v>29.6</v>
          </cell>
        </row>
        <row r="620">
          <cell r="D620" t="str">
            <v>010802060101</v>
          </cell>
          <cell r="N620">
            <v>28.8</v>
          </cell>
        </row>
        <row r="621">
          <cell r="D621" t="str">
            <v>010802060101</v>
          </cell>
          <cell r="N621">
            <v>31.8</v>
          </cell>
        </row>
        <row r="622">
          <cell r="D622" t="str">
            <v>010802060101</v>
          </cell>
          <cell r="N622">
            <v>31</v>
          </cell>
        </row>
        <row r="623">
          <cell r="D623" t="str">
            <v>010802060101</v>
          </cell>
          <cell r="N623">
            <v>32.799999999999997</v>
          </cell>
        </row>
        <row r="624">
          <cell r="D624" t="str">
            <v>010802060101</v>
          </cell>
          <cell r="N624">
            <v>32.200000000000003</v>
          </cell>
        </row>
        <row r="625">
          <cell r="D625" t="str">
            <v>010802060101</v>
          </cell>
          <cell r="N625">
            <v>43.2</v>
          </cell>
        </row>
        <row r="626">
          <cell r="D626" t="str">
            <v>010802060101</v>
          </cell>
          <cell r="N626">
            <v>37.6</v>
          </cell>
        </row>
        <row r="627">
          <cell r="D627" t="str">
            <v>010802060101</v>
          </cell>
          <cell r="N627">
            <v>39</v>
          </cell>
        </row>
        <row r="628">
          <cell r="D628" t="str">
            <v>010802060101</v>
          </cell>
          <cell r="N628">
            <v>39.4</v>
          </cell>
        </row>
        <row r="629">
          <cell r="D629" t="str">
            <v>010802060101</v>
          </cell>
          <cell r="N629">
            <v>41.5</v>
          </cell>
        </row>
        <row r="630">
          <cell r="D630" t="str">
            <v>010802060101</v>
          </cell>
          <cell r="N630">
            <v>39.200000000000003</v>
          </cell>
        </row>
        <row r="631">
          <cell r="D631" t="str">
            <v>010802060101</v>
          </cell>
          <cell r="N631">
            <v>36.6</v>
          </cell>
        </row>
        <row r="632">
          <cell r="D632" t="str">
            <v>010802060101</v>
          </cell>
          <cell r="N632">
            <v>36.4</v>
          </cell>
        </row>
        <row r="633">
          <cell r="D633" t="str">
            <v>010802060101</v>
          </cell>
          <cell r="N633">
            <v>37.200000000000003</v>
          </cell>
        </row>
        <row r="634">
          <cell r="D634" t="str">
            <v>010802060101</v>
          </cell>
          <cell r="N634">
            <v>38.200000000000003</v>
          </cell>
        </row>
        <row r="635">
          <cell r="D635" t="str">
            <v>010802060101</v>
          </cell>
          <cell r="N635">
            <v>33.6</v>
          </cell>
        </row>
        <row r="636">
          <cell r="D636" t="str">
            <v>010802060101</v>
          </cell>
          <cell r="N636">
            <v>40.299999999999997</v>
          </cell>
        </row>
        <row r="637">
          <cell r="D637" t="str">
            <v>010802060101</v>
          </cell>
          <cell r="N637">
            <v>38</v>
          </cell>
        </row>
        <row r="638">
          <cell r="D638" t="str">
            <v>010802060101</v>
          </cell>
          <cell r="N638">
            <v>39</v>
          </cell>
        </row>
        <row r="639">
          <cell r="D639" t="str">
            <v>010802060101</v>
          </cell>
          <cell r="N639">
            <v>39.6</v>
          </cell>
        </row>
        <row r="640">
          <cell r="D640" t="str">
            <v>010802060101</v>
          </cell>
          <cell r="N640">
            <v>36.4</v>
          </cell>
        </row>
        <row r="641">
          <cell r="D641" t="str">
            <v>010802060101</v>
          </cell>
          <cell r="N641">
            <v>36.700000000000003</v>
          </cell>
        </row>
        <row r="642">
          <cell r="D642" t="str">
            <v>010802060101</v>
          </cell>
          <cell r="N642">
            <v>36.1</v>
          </cell>
        </row>
        <row r="643">
          <cell r="D643" t="str">
            <v>010802060101</v>
          </cell>
          <cell r="N643">
            <v>37</v>
          </cell>
        </row>
        <row r="644">
          <cell r="D644" t="str">
            <v>010802060101</v>
          </cell>
          <cell r="N644">
            <v>43.4</v>
          </cell>
        </row>
        <row r="645">
          <cell r="D645" t="str">
            <v>010802060101</v>
          </cell>
          <cell r="N645">
            <v>33</v>
          </cell>
        </row>
        <row r="646">
          <cell r="D646" t="str">
            <v>010802060101</v>
          </cell>
          <cell r="N646">
            <v>40.200000000000003</v>
          </cell>
        </row>
        <row r="647">
          <cell r="D647" t="str">
            <v>010802060101</v>
          </cell>
          <cell r="N647">
            <v>42.6</v>
          </cell>
        </row>
        <row r="648">
          <cell r="D648" t="str">
            <v>010802060101</v>
          </cell>
          <cell r="N648">
            <v>41.8</v>
          </cell>
        </row>
        <row r="649">
          <cell r="D649" t="str">
            <v>010802060101</v>
          </cell>
          <cell r="N649">
            <v>40.799999999999997</v>
          </cell>
        </row>
        <row r="650">
          <cell r="D650" t="str">
            <v>010802060101</v>
          </cell>
          <cell r="N650">
            <v>40.4</v>
          </cell>
        </row>
        <row r="651">
          <cell r="D651" t="str">
            <v>010802060101</v>
          </cell>
          <cell r="N651">
            <v>37.200000000000003</v>
          </cell>
        </row>
        <row r="652">
          <cell r="D652" t="str">
            <v>010802060101</v>
          </cell>
          <cell r="N652">
            <v>33.4</v>
          </cell>
        </row>
        <row r="653">
          <cell r="D653" t="str">
            <v>010802060101</v>
          </cell>
          <cell r="N653">
            <v>36.799999999999997</v>
          </cell>
        </row>
        <row r="654">
          <cell r="D654" t="str">
            <v>010802060101</v>
          </cell>
          <cell r="N654">
            <v>35.6</v>
          </cell>
        </row>
        <row r="655">
          <cell r="D655" t="str">
            <v>010802060101</v>
          </cell>
          <cell r="N655">
            <v>26.8</v>
          </cell>
        </row>
        <row r="656">
          <cell r="D656" t="str">
            <v>010802060101</v>
          </cell>
          <cell r="N656">
            <v>26</v>
          </cell>
        </row>
        <row r="657">
          <cell r="D657" t="str">
            <v>010802060101</v>
          </cell>
          <cell r="N657">
            <v>25.6</v>
          </cell>
        </row>
        <row r="658">
          <cell r="D658" t="str">
            <v>010802060101</v>
          </cell>
          <cell r="N658">
            <v>29</v>
          </cell>
        </row>
        <row r="659">
          <cell r="D659" t="str">
            <v>010802060101</v>
          </cell>
          <cell r="N659">
            <v>30.2</v>
          </cell>
        </row>
        <row r="660">
          <cell r="D660" t="str">
            <v>010802060101</v>
          </cell>
          <cell r="N660">
            <v>30.2</v>
          </cell>
        </row>
        <row r="661">
          <cell r="D661" t="str">
            <v>010802060101</v>
          </cell>
          <cell r="N661">
            <v>30.2</v>
          </cell>
        </row>
        <row r="662">
          <cell r="D662" t="str">
            <v>010802060101</v>
          </cell>
          <cell r="N662">
            <v>30.6</v>
          </cell>
        </row>
        <row r="663">
          <cell r="D663" t="str">
            <v>010802060101</v>
          </cell>
          <cell r="N663">
            <v>33</v>
          </cell>
        </row>
        <row r="664">
          <cell r="D664" t="str">
            <v>010802060101</v>
          </cell>
          <cell r="N664">
            <v>28.4</v>
          </cell>
        </row>
        <row r="665">
          <cell r="D665" t="str">
            <v>010802060101</v>
          </cell>
          <cell r="N665">
            <v>31.8</v>
          </cell>
        </row>
        <row r="666">
          <cell r="D666" t="str">
            <v>010802060101</v>
          </cell>
          <cell r="N666">
            <v>28</v>
          </cell>
        </row>
        <row r="667">
          <cell r="D667" t="str">
            <v>010802060101</v>
          </cell>
          <cell r="N667">
            <v>31.6</v>
          </cell>
        </row>
        <row r="668">
          <cell r="D668" t="str">
            <v>010802060101</v>
          </cell>
          <cell r="N668">
            <v>29</v>
          </cell>
        </row>
        <row r="669">
          <cell r="D669" t="str">
            <v>010802060101</v>
          </cell>
          <cell r="N669">
            <v>31.6</v>
          </cell>
        </row>
        <row r="670">
          <cell r="D670" t="str">
            <v>010802060101</v>
          </cell>
          <cell r="N670">
            <v>31.4</v>
          </cell>
        </row>
        <row r="671">
          <cell r="D671" t="str">
            <v>010802060101</v>
          </cell>
          <cell r="N671">
            <v>32</v>
          </cell>
        </row>
        <row r="672">
          <cell r="D672" t="str">
            <v>010802060101</v>
          </cell>
          <cell r="N672">
            <v>28.4</v>
          </cell>
        </row>
        <row r="673">
          <cell r="D673" t="str">
            <v>010802060101</v>
          </cell>
          <cell r="N673">
            <v>32</v>
          </cell>
        </row>
        <row r="674">
          <cell r="D674" t="str">
            <v>010802060101</v>
          </cell>
          <cell r="N674">
            <v>31.8</v>
          </cell>
        </row>
        <row r="675">
          <cell r="D675" t="str">
            <v>010802060101</v>
          </cell>
          <cell r="N675">
            <v>31.6</v>
          </cell>
        </row>
        <row r="676">
          <cell r="D676" t="str">
            <v>010802060101</v>
          </cell>
          <cell r="N676">
            <v>25.8</v>
          </cell>
        </row>
        <row r="677">
          <cell r="D677" t="str">
            <v>010802060101</v>
          </cell>
          <cell r="N677">
            <v>27</v>
          </cell>
        </row>
        <row r="678">
          <cell r="D678" t="str">
            <v>010802060101</v>
          </cell>
          <cell r="N678">
            <v>26</v>
          </cell>
        </row>
        <row r="679">
          <cell r="D679" t="str">
            <v>010802060101</v>
          </cell>
          <cell r="N679">
            <v>32.4</v>
          </cell>
        </row>
        <row r="680">
          <cell r="D680" t="str">
            <v>010802060101</v>
          </cell>
          <cell r="N680">
            <v>32.200000000000003</v>
          </cell>
        </row>
        <row r="681">
          <cell r="D681" t="str">
            <v>010802060101</v>
          </cell>
          <cell r="N681">
            <v>29.6</v>
          </cell>
        </row>
        <row r="682">
          <cell r="D682" t="str">
            <v>010802060101</v>
          </cell>
          <cell r="N682">
            <v>29.4</v>
          </cell>
        </row>
        <row r="683">
          <cell r="D683" t="str">
            <v>010802060101</v>
          </cell>
          <cell r="N683">
            <v>29.8</v>
          </cell>
        </row>
        <row r="684">
          <cell r="D684" t="str">
            <v>010802060101</v>
          </cell>
          <cell r="N684">
            <v>29.2</v>
          </cell>
        </row>
        <row r="685">
          <cell r="D685" t="str">
            <v>010802060101</v>
          </cell>
          <cell r="N685">
            <v>28.6</v>
          </cell>
        </row>
        <row r="686">
          <cell r="D686" t="str">
            <v>010802060101</v>
          </cell>
          <cell r="N686">
            <v>29.8</v>
          </cell>
        </row>
        <row r="687">
          <cell r="D687" t="str">
            <v>010802060101</v>
          </cell>
          <cell r="N687">
            <v>27.4</v>
          </cell>
        </row>
        <row r="688">
          <cell r="D688" t="str">
            <v>010802060101</v>
          </cell>
          <cell r="N688">
            <v>27.6</v>
          </cell>
        </row>
        <row r="689">
          <cell r="D689" t="str">
            <v>010802060101</v>
          </cell>
          <cell r="N689">
            <v>29.6</v>
          </cell>
        </row>
        <row r="690">
          <cell r="D690" t="str">
            <v>010802060101</v>
          </cell>
          <cell r="N690">
            <v>28.2</v>
          </cell>
        </row>
        <row r="691">
          <cell r="D691" t="str">
            <v>010802060101</v>
          </cell>
          <cell r="N691">
            <v>27.6</v>
          </cell>
        </row>
        <row r="692">
          <cell r="D692" t="str">
            <v>010802060101</v>
          </cell>
          <cell r="N692">
            <v>26.8</v>
          </cell>
        </row>
        <row r="693">
          <cell r="D693" t="str">
            <v>010802060101</v>
          </cell>
          <cell r="N693">
            <v>31.6</v>
          </cell>
        </row>
        <row r="694">
          <cell r="D694" t="str">
            <v>010802060101</v>
          </cell>
          <cell r="N694">
            <v>30</v>
          </cell>
        </row>
        <row r="695">
          <cell r="D695" t="str">
            <v>010802060101</v>
          </cell>
          <cell r="N695">
            <v>29.4</v>
          </cell>
        </row>
        <row r="696">
          <cell r="D696" t="str">
            <v>010802060101</v>
          </cell>
          <cell r="N696">
            <v>29.2</v>
          </cell>
        </row>
        <row r="697">
          <cell r="D697" t="str">
            <v>010802060101</v>
          </cell>
          <cell r="N697">
            <v>30.6</v>
          </cell>
        </row>
        <row r="698">
          <cell r="D698" t="str">
            <v>010802060101</v>
          </cell>
          <cell r="N698">
            <v>29.2</v>
          </cell>
        </row>
        <row r="699">
          <cell r="D699" t="str">
            <v>010802060101</v>
          </cell>
          <cell r="N699">
            <v>30</v>
          </cell>
        </row>
        <row r="700">
          <cell r="D700" t="str">
            <v>010802060101</v>
          </cell>
          <cell r="N700">
            <v>32.200000000000003</v>
          </cell>
        </row>
        <row r="701">
          <cell r="D701" t="str">
            <v>010802060101</v>
          </cell>
          <cell r="N701">
            <v>30.8</v>
          </cell>
        </row>
        <row r="702">
          <cell r="D702" t="str">
            <v>010802060101</v>
          </cell>
          <cell r="N702">
            <v>31.4</v>
          </cell>
        </row>
        <row r="703">
          <cell r="D703" t="str">
            <v>010802060101</v>
          </cell>
          <cell r="N703">
            <v>33.200000000000003</v>
          </cell>
        </row>
        <row r="704">
          <cell r="D704" t="str">
            <v>010802060101</v>
          </cell>
          <cell r="N704">
            <v>30.2</v>
          </cell>
        </row>
        <row r="705">
          <cell r="D705" t="str">
            <v>010802060101</v>
          </cell>
          <cell r="N705">
            <v>30</v>
          </cell>
        </row>
        <row r="706">
          <cell r="D706" t="str">
            <v>010802060101</v>
          </cell>
          <cell r="N706">
            <v>28.4</v>
          </cell>
        </row>
        <row r="707">
          <cell r="D707" t="str">
            <v>010802060101</v>
          </cell>
          <cell r="N707">
            <v>27.8</v>
          </cell>
        </row>
        <row r="708">
          <cell r="D708" t="str">
            <v>010802060101</v>
          </cell>
          <cell r="N708">
            <v>26.4</v>
          </cell>
        </row>
        <row r="709">
          <cell r="D709" t="str">
            <v>010802060101</v>
          </cell>
          <cell r="N709">
            <v>29</v>
          </cell>
        </row>
        <row r="710">
          <cell r="D710" t="str">
            <v>010802060101</v>
          </cell>
          <cell r="N710">
            <v>39.799999999999997</v>
          </cell>
        </row>
        <row r="711">
          <cell r="D711" t="str">
            <v>010602060701</v>
          </cell>
          <cell r="N711">
            <v>33.4</v>
          </cell>
        </row>
        <row r="712">
          <cell r="D712" t="str">
            <v>010802060101</v>
          </cell>
          <cell r="N712">
            <v>34.799999999999997</v>
          </cell>
        </row>
        <row r="713">
          <cell r="D713" t="str">
            <v>010802060101</v>
          </cell>
          <cell r="N713">
            <v>37</v>
          </cell>
        </row>
        <row r="714">
          <cell r="D714" t="str">
            <v>010802060101</v>
          </cell>
          <cell r="N714">
            <v>37.799999999999997</v>
          </cell>
        </row>
        <row r="715">
          <cell r="D715" t="str">
            <v>010802060101</v>
          </cell>
          <cell r="N715">
            <v>33.4</v>
          </cell>
        </row>
        <row r="716">
          <cell r="D716" t="str">
            <v>010802060101</v>
          </cell>
          <cell r="N716">
            <v>38.200000000000003</v>
          </cell>
        </row>
        <row r="717">
          <cell r="D717" t="str">
            <v>010802060101</v>
          </cell>
          <cell r="N717">
            <v>37.200000000000003</v>
          </cell>
        </row>
        <row r="718">
          <cell r="D718" t="str">
            <v>010802060101</v>
          </cell>
          <cell r="N718">
            <v>38.4</v>
          </cell>
        </row>
        <row r="719">
          <cell r="D719" t="str">
            <v>010802060101</v>
          </cell>
          <cell r="N719">
            <v>46.4</v>
          </cell>
        </row>
        <row r="720">
          <cell r="D720" t="str">
            <v>010802060101</v>
          </cell>
          <cell r="N720">
            <v>38.6</v>
          </cell>
        </row>
        <row r="721">
          <cell r="D721" t="str">
            <v>010802060101</v>
          </cell>
          <cell r="N721">
            <v>35.6</v>
          </cell>
        </row>
        <row r="722">
          <cell r="D722" t="str">
            <v>010802060101</v>
          </cell>
          <cell r="N722">
            <v>33.4</v>
          </cell>
        </row>
        <row r="723">
          <cell r="D723" t="str">
            <v>010802060101</v>
          </cell>
          <cell r="N723">
            <v>31.8</v>
          </cell>
        </row>
        <row r="724">
          <cell r="D724" t="str">
            <v>010802060101</v>
          </cell>
          <cell r="N724">
            <v>23.3</v>
          </cell>
        </row>
        <row r="725">
          <cell r="D725" t="str">
            <v>010802060101</v>
          </cell>
          <cell r="N725">
            <v>10</v>
          </cell>
        </row>
        <row r="726">
          <cell r="D726" t="str">
            <v>010602060701</v>
          </cell>
          <cell r="N726">
            <v>46</v>
          </cell>
        </row>
        <row r="727">
          <cell r="D727" t="str">
            <v>010602060701</v>
          </cell>
          <cell r="N727">
            <v>48</v>
          </cell>
        </row>
        <row r="728">
          <cell r="D728" t="str">
            <v>010602060701</v>
          </cell>
          <cell r="N728">
            <v>48</v>
          </cell>
        </row>
        <row r="729">
          <cell r="D729" t="str">
            <v>010602060701</v>
          </cell>
          <cell r="N729">
            <v>42</v>
          </cell>
        </row>
        <row r="730">
          <cell r="D730" t="str">
            <v>010602060701</v>
          </cell>
          <cell r="N730">
            <v>43.4</v>
          </cell>
        </row>
        <row r="731">
          <cell r="D731" t="str">
            <v>010602060701</v>
          </cell>
          <cell r="N731">
            <v>37.200000000000003</v>
          </cell>
        </row>
        <row r="732">
          <cell r="D732" t="str">
            <v>010602060701</v>
          </cell>
          <cell r="N732">
            <v>45.8</v>
          </cell>
        </row>
        <row r="733">
          <cell r="D733" t="str">
            <v>010602060701</v>
          </cell>
          <cell r="N733">
            <v>37.4</v>
          </cell>
        </row>
        <row r="734">
          <cell r="D734" t="str">
            <v>010602060701</v>
          </cell>
          <cell r="N734">
            <v>40.799999999999997</v>
          </cell>
        </row>
        <row r="735">
          <cell r="D735" t="str">
            <v>010602060701</v>
          </cell>
          <cell r="N735">
            <v>42</v>
          </cell>
        </row>
        <row r="736">
          <cell r="D736" t="str">
            <v>010602060701</v>
          </cell>
          <cell r="N736">
            <v>36</v>
          </cell>
        </row>
        <row r="737">
          <cell r="D737" t="str">
            <v>010602060701</v>
          </cell>
          <cell r="N737">
            <v>52.4</v>
          </cell>
        </row>
        <row r="738">
          <cell r="D738" t="str">
            <v>010602060701</v>
          </cell>
          <cell r="N738">
            <v>41.8</v>
          </cell>
        </row>
        <row r="739">
          <cell r="D739" t="str">
            <v>010602060701</v>
          </cell>
          <cell r="N739">
            <v>52</v>
          </cell>
        </row>
        <row r="740">
          <cell r="D740" t="str">
            <v>010602060701</v>
          </cell>
          <cell r="N740">
            <v>52.4</v>
          </cell>
        </row>
        <row r="741">
          <cell r="D741" t="str">
            <v>010602060701</v>
          </cell>
          <cell r="N741">
            <v>35</v>
          </cell>
        </row>
        <row r="742">
          <cell r="D742" t="str">
            <v>010602060701</v>
          </cell>
          <cell r="N742">
            <v>51</v>
          </cell>
        </row>
        <row r="743">
          <cell r="D743" t="str">
            <v>010602060701</v>
          </cell>
          <cell r="N743">
            <v>53</v>
          </cell>
        </row>
        <row r="744">
          <cell r="D744" t="str">
            <v>010602060701</v>
          </cell>
          <cell r="N744">
            <v>52.2</v>
          </cell>
        </row>
        <row r="745">
          <cell r="D745" t="str">
            <v>010602060701</v>
          </cell>
          <cell r="N745">
            <v>29.6</v>
          </cell>
        </row>
        <row r="746">
          <cell r="D746" t="str">
            <v>010602060701</v>
          </cell>
          <cell r="N746">
            <v>47.7</v>
          </cell>
        </row>
        <row r="747">
          <cell r="D747" t="str">
            <v>010602060701</v>
          </cell>
          <cell r="N747">
            <v>34.799999999999997</v>
          </cell>
        </row>
        <row r="748">
          <cell r="D748" t="str">
            <v>010602060701</v>
          </cell>
          <cell r="N748">
            <v>42</v>
          </cell>
        </row>
        <row r="749">
          <cell r="D749" t="str">
            <v>020202072701</v>
          </cell>
          <cell r="N749">
            <v>30.6</v>
          </cell>
        </row>
        <row r="750">
          <cell r="D750" t="str">
            <v>020202072701</v>
          </cell>
          <cell r="N750">
            <v>29.6</v>
          </cell>
        </row>
        <row r="751">
          <cell r="D751" t="str">
            <v>020202072701</v>
          </cell>
          <cell r="N751">
            <v>30.4</v>
          </cell>
        </row>
        <row r="752">
          <cell r="D752" t="str">
            <v>020202072701</v>
          </cell>
          <cell r="N752">
            <v>30.8</v>
          </cell>
        </row>
        <row r="753">
          <cell r="D753" t="str">
            <v>020202072701</v>
          </cell>
          <cell r="N753">
            <v>25.6</v>
          </cell>
        </row>
        <row r="754">
          <cell r="D754" t="str">
            <v>020202072701</v>
          </cell>
          <cell r="N754">
            <v>30.6</v>
          </cell>
        </row>
        <row r="755">
          <cell r="D755" t="str">
            <v>020202072701</v>
          </cell>
          <cell r="N755">
            <v>30.4</v>
          </cell>
        </row>
        <row r="756">
          <cell r="D756" t="str">
            <v>020202072701</v>
          </cell>
          <cell r="N756">
            <v>31.4</v>
          </cell>
        </row>
        <row r="757">
          <cell r="D757" t="str">
            <v>020202072701</v>
          </cell>
          <cell r="N757">
            <v>31</v>
          </cell>
        </row>
        <row r="758">
          <cell r="D758" t="str">
            <v>020202072701</v>
          </cell>
          <cell r="N758">
            <v>30.4</v>
          </cell>
        </row>
        <row r="759">
          <cell r="D759" t="str">
            <v>010910060301</v>
          </cell>
          <cell r="N759">
            <v>29.8</v>
          </cell>
        </row>
        <row r="760">
          <cell r="D760" t="str">
            <v>010910060401</v>
          </cell>
          <cell r="N760">
            <v>48.4</v>
          </cell>
        </row>
        <row r="761">
          <cell r="D761" t="str">
            <v>010910060301</v>
          </cell>
          <cell r="N761">
            <v>47.2</v>
          </cell>
        </row>
        <row r="762">
          <cell r="D762" t="str">
            <v>010910060201</v>
          </cell>
          <cell r="N762">
            <v>35.4</v>
          </cell>
        </row>
        <row r="763">
          <cell r="D763" t="str">
            <v>010910060201</v>
          </cell>
          <cell r="N763">
            <v>43.2</v>
          </cell>
        </row>
        <row r="764">
          <cell r="D764" t="str">
            <v>010910060601</v>
          </cell>
          <cell r="N764">
            <v>43.8</v>
          </cell>
        </row>
        <row r="765">
          <cell r="D765" t="str">
            <v>010910060301</v>
          </cell>
          <cell r="N765">
            <v>37.799999999999997</v>
          </cell>
        </row>
        <row r="766">
          <cell r="D766" t="str">
            <v>010910060401</v>
          </cell>
          <cell r="N766">
            <v>49.8</v>
          </cell>
        </row>
        <row r="767">
          <cell r="D767" t="str">
            <v>010910060301</v>
          </cell>
          <cell r="N767">
            <v>43.6</v>
          </cell>
        </row>
        <row r="768">
          <cell r="D768" t="str">
            <v>010910060301</v>
          </cell>
          <cell r="N768">
            <v>34</v>
          </cell>
        </row>
        <row r="769">
          <cell r="D769" t="str">
            <v>010910060301</v>
          </cell>
          <cell r="N769">
            <v>32.799999999999997</v>
          </cell>
        </row>
        <row r="770">
          <cell r="D770" t="str">
            <v>010910060301</v>
          </cell>
          <cell r="N770">
            <v>37</v>
          </cell>
        </row>
        <row r="771">
          <cell r="D771" t="str">
            <v>010910060201</v>
          </cell>
          <cell r="N771">
            <v>28.6</v>
          </cell>
        </row>
        <row r="772">
          <cell r="D772" t="str">
            <v>010910060401</v>
          </cell>
          <cell r="N772">
            <v>51.4</v>
          </cell>
        </row>
        <row r="773">
          <cell r="D773" t="str">
            <v>010910060301</v>
          </cell>
          <cell r="N773">
            <v>38.4</v>
          </cell>
        </row>
        <row r="774">
          <cell r="D774" t="str">
            <v>010910060201</v>
          </cell>
          <cell r="N774">
            <v>37.4</v>
          </cell>
        </row>
        <row r="775">
          <cell r="D775" t="str">
            <v>010910060301</v>
          </cell>
          <cell r="N775">
            <v>34.6</v>
          </cell>
        </row>
        <row r="776">
          <cell r="D776" t="str">
            <v>010910060301</v>
          </cell>
          <cell r="N776">
            <v>35.6</v>
          </cell>
        </row>
        <row r="777">
          <cell r="D777" t="str">
            <v>010910060201</v>
          </cell>
          <cell r="N777">
            <v>29.4</v>
          </cell>
        </row>
        <row r="778">
          <cell r="D778" t="str">
            <v>010910060301</v>
          </cell>
          <cell r="N778">
            <v>40.6</v>
          </cell>
        </row>
        <row r="779">
          <cell r="D779" t="str">
            <v>010910060301</v>
          </cell>
          <cell r="N779">
            <v>37</v>
          </cell>
        </row>
        <row r="780">
          <cell r="D780" t="str">
            <v>010910060301</v>
          </cell>
          <cell r="N780">
            <v>38.4</v>
          </cell>
        </row>
        <row r="781">
          <cell r="D781" t="str">
            <v>010910060201</v>
          </cell>
          <cell r="N781">
            <v>37</v>
          </cell>
        </row>
        <row r="782">
          <cell r="D782" t="str">
            <v>010910060301</v>
          </cell>
          <cell r="N782">
            <v>25.8</v>
          </cell>
        </row>
        <row r="783">
          <cell r="D783" t="str">
            <v>010910060301</v>
          </cell>
          <cell r="N783">
            <v>42</v>
          </cell>
        </row>
        <row r="784">
          <cell r="D784" t="str">
            <v>010910060301</v>
          </cell>
          <cell r="N784">
            <v>42</v>
          </cell>
        </row>
        <row r="785">
          <cell r="D785" t="str">
            <v>010910060301</v>
          </cell>
          <cell r="N785">
            <v>35.4</v>
          </cell>
        </row>
        <row r="786">
          <cell r="D786" t="str">
            <v>010910060301</v>
          </cell>
          <cell r="N786">
            <v>40.200000000000003</v>
          </cell>
        </row>
        <row r="787">
          <cell r="D787" t="str">
            <v>010910060301</v>
          </cell>
          <cell r="N787">
            <v>50.6</v>
          </cell>
        </row>
        <row r="788">
          <cell r="D788" t="str">
            <v>010910060301</v>
          </cell>
          <cell r="N788">
            <v>48.4</v>
          </cell>
        </row>
        <row r="789">
          <cell r="D789" t="str">
            <v>010910060301</v>
          </cell>
          <cell r="N789">
            <v>40.799999999999997</v>
          </cell>
        </row>
        <row r="790">
          <cell r="D790" t="str">
            <v>010910060301</v>
          </cell>
          <cell r="N790">
            <v>47.2</v>
          </cell>
        </row>
        <row r="791">
          <cell r="D791" t="str">
            <v>010910060301</v>
          </cell>
          <cell r="N791">
            <v>35.200000000000003</v>
          </cell>
        </row>
        <row r="792">
          <cell r="D792" t="str">
            <v>010910060201</v>
          </cell>
          <cell r="N792">
            <v>26.4</v>
          </cell>
        </row>
        <row r="793">
          <cell r="D793" t="str">
            <v>010910060301</v>
          </cell>
          <cell r="N793">
            <v>27</v>
          </cell>
        </row>
        <row r="794">
          <cell r="D794" t="str">
            <v>010910060201</v>
          </cell>
          <cell r="N794">
            <v>5.2</v>
          </cell>
        </row>
        <row r="795">
          <cell r="D795" t="str">
            <v>010910060401</v>
          </cell>
          <cell r="N795">
            <v>41.4</v>
          </cell>
        </row>
        <row r="796">
          <cell r="D796" t="str">
            <v>010910060201</v>
          </cell>
          <cell r="N796">
            <v>29.8</v>
          </cell>
        </row>
        <row r="797">
          <cell r="D797" t="str">
            <v>010910060201</v>
          </cell>
          <cell r="N797">
            <v>35.4</v>
          </cell>
        </row>
        <row r="798">
          <cell r="D798" t="str">
            <v>010910060201</v>
          </cell>
          <cell r="N798">
            <v>30.8</v>
          </cell>
        </row>
        <row r="799">
          <cell r="D799" t="str">
            <v>010910060301</v>
          </cell>
          <cell r="N799">
            <v>37.200000000000003</v>
          </cell>
        </row>
        <row r="800">
          <cell r="D800" t="str">
            <v>010910060201</v>
          </cell>
          <cell r="N800">
            <v>32.4</v>
          </cell>
        </row>
        <row r="801">
          <cell r="D801" t="str">
            <v>010910060401</v>
          </cell>
          <cell r="N801">
            <v>38.200000000000003</v>
          </cell>
        </row>
        <row r="802">
          <cell r="D802" t="str">
            <v>010910060201</v>
          </cell>
          <cell r="N802">
            <v>34.799999999999997</v>
          </cell>
        </row>
        <row r="803">
          <cell r="D803" t="str">
            <v>010910060201</v>
          </cell>
          <cell r="N803">
            <v>29.2</v>
          </cell>
        </row>
        <row r="804">
          <cell r="D804" t="str">
            <v>010910060301</v>
          </cell>
          <cell r="N804">
            <v>38.4</v>
          </cell>
        </row>
        <row r="805">
          <cell r="D805" t="str">
            <v>010910060201</v>
          </cell>
          <cell r="N805">
            <v>26.2</v>
          </cell>
        </row>
        <row r="806">
          <cell r="D806" t="str">
            <v>010910060401</v>
          </cell>
          <cell r="N806">
            <v>47.4</v>
          </cell>
        </row>
        <row r="807">
          <cell r="D807" t="str">
            <v>010910060401</v>
          </cell>
          <cell r="N807">
            <v>52.8</v>
          </cell>
        </row>
        <row r="808">
          <cell r="D808" t="str">
            <v>010910060401</v>
          </cell>
          <cell r="N808">
            <v>40.799999999999997</v>
          </cell>
        </row>
        <row r="809">
          <cell r="D809" t="str">
            <v>010910060201</v>
          </cell>
          <cell r="N809">
            <v>24.8</v>
          </cell>
        </row>
        <row r="810">
          <cell r="D810" t="str">
            <v>010910060401</v>
          </cell>
          <cell r="N810">
            <v>43.6</v>
          </cell>
        </row>
        <row r="811">
          <cell r="D811" t="str">
            <v>010910060201</v>
          </cell>
          <cell r="N811">
            <v>35.4</v>
          </cell>
        </row>
        <row r="812">
          <cell r="D812" t="str">
            <v>010910060401</v>
          </cell>
          <cell r="N812">
            <v>36.200000000000003</v>
          </cell>
        </row>
        <row r="813">
          <cell r="D813" t="str">
            <v>010910060401</v>
          </cell>
          <cell r="N813">
            <v>38.799999999999997</v>
          </cell>
        </row>
        <row r="814">
          <cell r="D814" t="str">
            <v>010910060401</v>
          </cell>
          <cell r="N814">
            <v>37.799999999999997</v>
          </cell>
        </row>
        <row r="815">
          <cell r="D815" t="str">
            <v>010910060401</v>
          </cell>
          <cell r="N815">
            <v>40.799999999999997</v>
          </cell>
        </row>
        <row r="816">
          <cell r="D816" t="str">
            <v>010910060401</v>
          </cell>
          <cell r="N816">
            <v>35.6</v>
          </cell>
        </row>
        <row r="817">
          <cell r="D817" t="str">
            <v>010910060401</v>
          </cell>
          <cell r="N817">
            <v>36.799999999999997</v>
          </cell>
        </row>
        <row r="818">
          <cell r="D818" t="str">
            <v>010910060401</v>
          </cell>
          <cell r="N818">
            <v>50.4</v>
          </cell>
        </row>
        <row r="819">
          <cell r="D819" t="str">
            <v>010910060401</v>
          </cell>
          <cell r="N819">
            <v>41.8</v>
          </cell>
        </row>
        <row r="820">
          <cell r="D820" t="str">
            <v>010910060401</v>
          </cell>
          <cell r="N820">
            <v>39.6</v>
          </cell>
        </row>
        <row r="821">
          <cell r="D821" t="str">
            <v>010910060401</v>
          </cell>
          <cell r="N821">
            <v>38.4</v>
          </cell>
        </row>
        <row r="822">
          <cell r="D822" t="str">
            <v>010910060601</v>
          </cell>
          <cell r="N822">
            <v>49</v>
          </cell>
        </row>
        <row r="823">
          <cell r="D823" t="str">
            <v>010910060401</v>
          </cell>
          <cell r="N823">
            <v>42</v>
          </cell>
        </row>
        <row r="824">
          <cell r="D824" t="str">
            <v>010910060401</v>
          </cell>
          <cell r="N824">
            <v>47</v>
          </cell>
        </row>
        <row r="825">
          <cell r="D825" t="str">
            <v>010910060301</v>
          </cell>
          <cell r="N825">
            <v>42.2</v>
          </cell>
        </row>
        <row r="826">
          <cell r="D826" t="str">
            <v>010910060401</v>
          </cell>
          <cell r="N826">
            <v>36.799999999999997</v>
          </cell>
        </row>
        <row r="827">
          <cell r="D827" t="str">
            <v>010910060301</v>
          </cell>
          <cell r="N827">
            <v>42</v>
          </cell>
        </row>
        <row r="828">
          <cell r="D828" t="str">
            <v>010910060301</v>
          </cell>
          <cell r="N828">
            <v>34.6</v>
          </cell>
        </row>
        <row r="829">
          <cell r="D829" t="str">
            <v>010910060401</v>
          </cell>
          <cell r="N829">
            <v>38.799999999999997</v>
          </cell>
        </row>
        <row r="830">
          <cell r="D830" t="str">
            <v>010910060201</v>
          </cell>
          <cell r="N830">
            <v>32</v>
          </cell>
        </row>
        <row r="831">
          <cell r="D831" t="str">
            <v>010910060201</v>
          </cell>
          <cell r="N831">
            <v>36</v>
          </cell>
        </row>
        <row r="832">
          <cell r="D832" t="str">
            <v>010910060201</v>
          </cell>
          <cell r="N832">
            <v>34.799999999999997</v>
          </cell>
        </row>
        <row r="833">
          <cell r="D833" t="str">
            <v>010910060201</v>
          </cell>
          <cell r="N833">
            <v>29.6</v>
          </cell>
        </row>
        <row r="834">
          <cell r="D834" t="str">
            <v>010910060401</v>
          </cell>
          <cell r="N834">
            <v>39.6</v>
          </cell>
        </row>
        <row r="835">
          <cell r="D835" t="str">
            <v>010910060401</v>
          </cell>
          <cell r="N835">
            <v>30</v>
          </cell>
        </row>
        <row r="836">
          <cell r="D836" t="str">
            <v>010910060401</v>
          </cell>
          <cell r="N836">
            <v>39</v>
          </cell>
        </row>
        <row r="837">
          <cell r="D837" t="str">
            <v>010910060301</v>
          </cell>
          <cell r="N837">
            <v>43.8</v>
          </cell>
        </row>
        <row r="838">
          <cell r="D838" t="str">
            <v>010910060301</v>
          </cell>
          <cell r="N838">
            <v>9.6</v>
          </cell>
        </row>
        <row r="839">
          <cell r="D839" t="str">
            <v>131302090201</v>
          </cell>
          <cell r="N839">
            <v>39.200000000000003</v>
          </cell>
        </row>
        <row r="840">
          <cell r="D840" t="str">
            <v>131302090201</v>
          </cell>
          <cell r="N840">
            <v>39.6</v>
          </cell>
        </row>
        <row r="841">
          <cell r="D841" t="str">
            <v>131302090201</v>
          </cell>
          <cell r="N841">
            <v>35.799999999999997</v>
          </cell>
        </row>
        <row r="842">
          <cell r="D842" t="str">
            <v>010102011303</v>
          </cell>
          <cell r="N842">
            <v>84.4</v>
          </cell>
        </row>
        <row r="843">
          <cell r="D843" t="str">
            <v>010102011403</v>
          </cell>
          <cell r="N843">
            <v>1853.4</v>
          </cell>
        </row>
        <row r="844">
          <cell r="D844" t="str">
            <v>010102011503</v>
          </cell>
          <cell r="N844">
            <v>5252.3</v>
          </cell>
        </row>
        <row r="845">
          <cell r="D845" t="str">
            <v>010102011603</v>
          </cell>
          <cell r="N845">
            <v>14870.9</v>
          </cell>
        </row>
        <row r="846">
          <cell r="D846" t="str">
            <v>010102011703</v>
          </cell>
          <cell r="N846">
            <v>775</v>
          </cell>
        </row>
        <row r="847">
          <cell r="D847" t="str">
            <v>010802060101</v>
          </cell>
          <cell r="N847">
            <v>35.4</v>
          </cell>
        </row>
        <row r="848">
          <cell r="D848" t="str">
            <v>010802060101</v>
          </cell>
          <cell r="N848">
            <v>36.799999999999997</v>
          </cell>
        </row>
        <row r="849">
          <cell r="D849" t="str">
            <v>010802060101</v>
          </cell>
          <cell r="N849">
            <v>37.799999999999997</v>
          </cell>
        </row>
        <row r="850">
          <cell r="D850" t="str">
            <v>010802060101</v>
          </cell>
          <cell r="N850">
            <v>40</v>
          </cell>
        </row>
        <row r="851">
          <cell r="D851" t="str">
            <v>010802060101</v>
          </cell>
          <cell r="N851">
            <v>35.799999999999997</v>
          </cell>
        </row>
        <row r="852">
          <cell r="D852" t="str">
            <v>010802060101</v>
          </cell>
          <cell r="N852">
            <v>41.2</v>
          </cell>
        </row>
        <row r="853">
          <cell r="D853" t="str">
            <v>010802060101</v>
          </cell>
          <cell r="N853">
            <v>36.200000000000003</v>
          </cell>
        </row>
        <row r="854">
          <cell r="D854" t="str">
            <v>010802060101</v>
          </cell>
          <cell r="N854">
            <v>36.6</v>
          </cell>
        </row>
        <row r="855">
          <cell r="D855" t="str">
            <v>010802060101</v>
          </cell>
          <cell r="N855">
            <v>39.4</v>
          </cell>
        </row>
        <row r="856">
          <cell r="D856" t="str">
            <v>010802060101</v>
          </cell>
          <cell r="N856">
            <v>39.6</v>
          </cell>
        </row>
        <row r="857">
          <cell r="D857" t="str">
            <v>010802060101</v>
          </cell>
          <cell r="N857">
            <v>39.6</v>
          </cell>
        </row>
        <row r="858">
          <cell r="D858" t="str">
            <v>010802060101</v>
          </cell>
          <cell r="N858">
            <v>36.6</v>
          </cell>
        </row>
        <row r="859">
          <cell r="D859" t="str">
            <v>010802060101</v>
          </cell>
          <cell r="N859">
            <v>34.200000000000003</v>
          </cell>
        </row>
        <row r="860">
          <cell r="D860" t="str">
            <v>010802060101</v>
          </cell>
          <cell r="N860">
            <v>35</v>
          </cell>
        </row>
        <row r="861">
          <cell r="D861" t="str">
            <v>010802060101</v>
          </cell>
          <cell r="N861">
            <v>34.799999999999997</v>
          </cell>
        </row>
        <row r="862">
          <cell r="D862" t="str">
            <v>010802060101</v>
          </cell>
          <cell r="N862">
            <v>36.799999999999997</v>
          </cell>
        </row>
        <row r="863">
          <cell r="D863" t="str">
            <v>010802060101</v>
          </cell>
          <cell r="N863">
            <v>36.6</v>
          </cell>
        </row>
        <row r="864">
          <cell r="D864" t="str">
            <v>010802060101</v>
          </cell>
          <cell r="N864">
            <v>36.799999999999997</v>
          </cell>
        </row>
        <row r="865">
          <cell r="D865" t="str">
            <v>010802060101</v>
          </cell>
          <cell r="N865">
            <v>33.200000000000003</v>
          </cell>
        </row>
        <row r="866">
          <cell r="D866" t="str">
            <v>010802060101</v>
          </cell>
          <cell r="N866">
            <v>37.299999999999997</v>
          </cell>
        </row>
        <row r="867">
          <cell r="D867" t="str">
            <v>010802060101</v>
          </cell>
          <cell r="N867">
            <v>31.6</v>
          </cell>
        </row>
        <row r="868">
          <cell r="D868" t="str">
            <v>010802060101</v>
          </cell>
          <cell r="N868">
            <v>37.799999999999997</v>
          </cell>
        </row>
        <row r="869">
          <cell r="D869" t="str">
            <v>010802060101</v>
          </cell>
          <cell r="N869">
            <v>40.299999999999997</v>
          </cell>
        </row>
        <row r="870">
          <cell r="D870" t="str">
            <v>010802060101</v>
          </cell>
          <cell r="N870">
            <v>33</v>
          </cell>
        </row>
        <row r="871">
          <cell r="D871" t="str">
            <v>010802060101</v>
          </cell>
          <cell r="N871">
            <v>36.4</v>
          </cell>
        </row>
        <row r="872">
          <cell r="D872" t="str">
            <v>010802060101</v>
          </cell>
          <cell r="N872">
            <v>33.799999999999997</v>
          </cell>
        </row>
        <row r="873">
          <cell r="D873" t="str">
            <v>010802060101</v>
          </cell>
          <cell r="N873">
            <v>33.6</v>
          </cell>
        </row>
        <row r="874">
          <cell r="D874" t="str">
            <v>010802060101</v>
          </cell>
          <cell r="N874">
            <v>36</v>
          </cell>
        </row>
        <row r="875">
          <cell r="D875" t="str">
            <v>010802060101</v>
          </cell>
          <cell r="N875">
            <v>42.6</v>
          </cell>
        </row>
        <row r="876">
          <cell r="D876" t="str">
            <v>010802060101</v>
          </cell>
          <cell r="N876">
            <v>37.6</v>
          </cell>
        </row>
        <row r="877">
          <cell r="D877" t="str">
            <v>010802060101</v>
          </cell>
          <cell r="N877">
            <v>33.299999999999997</v>
          </cell>
        </row>
        <row r="878">
          <cell r="D878" t="str">
            <v>010802060101</v>
          </cell>
          <cell r="N878">
            <v>39.5</v>
          </cell>
        </row>
        <row r="879">
          <cell r="D879" t="str">
            <v>010802060101</v>
          </cell>
          <cell r="N879">
            <v>30.6</v>
          </cell>
        </row>
        <row r="880">
          <cell r="D880" t="str">
            <v>010802060101</v>
          </cell>
          <cell r="N880">
            <v>29</v>
          </cell>
        </row>
        <row r="881">
          <cell r="D881" t="str">
            <v>010802060101</v>
          </cell>
          <cell r="N881">
            <v>30</v>
          </cell>
        </row>
        <row r="882">
          <cell r="D882" t="str">
            <v>010802060101</v>
          </cell>
          <cell r="N882">
            <v>31</v>
          </cell>
        </row>
        <row r="883">
          <cell r="D883" t="str">
            <v>010802060101</v>
          </cell>
          <cell r="N883">
            <v>29.2</v>
          </cell>
        </row>
        <row r="884">
          <cell r="D884" t="str">
            <v>010802060101</v>
          </cell>
          <cell r="N884">
            <v>26</v>
          </cell>
        </row>
        <row r="885">
          <cell r="D885" t="str">
            <v>010802060101</v>
          </cell>
          <cell r="N885">
            <v>33.799999999999997</v>
          </cell>
        </row>
        <row r="886">
          <cell r="D886" t="str">
            <v>010802060101</v>
          </cell>
          <cell r="N886">
            <v>25.8</v>
          </cell>
        </row>
        <row r="887">
          <cell r="D887" t="str">
            <v>010602060701</v>
          </cell>
          <cell r="N887">
            <v>34.799999999999997</v>
          </cell>
        </row>
        <row r="888">
          <cell r="D888" t="str">
            <v>010602060701</v>
          </cell>
          <cell r="N888">
            <v>39</v>
          </cell>
        </row>
        <row r="889">
          <cell r="D889" t="str">
            <v>010602060701</v>
          </cell>
          <cell r="N889">
            <v>38.200000000000003</v>
          </cell>
        </row>
        <row r="890">
          <cell r="D890" t="str">
            <v>010602060701</v>
          </cell>
          <cell r="N890">
            <v>38.4</v>
          </cell>
        </row>
        <row r="891">
          <cell r="D891" t="str">
            <v>010602060701</v>
          </cell>
          <cell r="N891">
            <v>44.8</v>
          </cell>
        </row>
        <row r="892">
          <cell r="D892" t="str">
            <v>010602060701</v>
          </cell>
          <cell r="N892">
            <v>34.4</v>
          </cell>
        </row>
        <row r="893">
          <cell r="D893" t="str">
            <v>010602060701</v>
          </cell>
          <cell r="N893">
            <v>43.2</v>
          </cell>
        </row>
        <row r="894">
          <cell r="D894" t="str">
            <v>010602060701</v>
          </cell>
          <cell r="N894">
            <v>37.4</v>
          </cell>
        </row>
        <row r="895">
          <cell r="D895" t="str">
            <v>010602060701</v>
          </cell>
          <cell r="N895">
            <v>36.4</v>
          </cell>
        </row>
        <row r="896">
          <cell r="D896" t="str">
            <v>010602060701</v>
          </cell>
          <cell r="N896">
            <v>34.6</v>
          </cell>
        </row>
        <row r="897">
          <cell r="D897" t="str">
            <v>010602060701</v>
          </cell>
          <cell r="N897">
            <v>34.799999999999997</v>
          </cell>
        </row>
        <row r="898">
          <cell r="D898" t="str">
            <v>010602060701</v>
          </cell>
          <cell r="N898">
            <v>43.8</v>
          </cell>
        </row>
        <row r="899">
          <cell r="D899" t="str">
            <v>010602060701</v>
          </cell>
          <cell r="N899">
            <v>46.6</v>
          </cell>
        </row>
        <row r="900">
          <cell r="D900" t="str">
            <v>010602060701</v>
          </cell>
          <cell r="N900">
            <v>44</v>
          </cell>
        </row>
        <row r="901">
          <cell r="D901" t="str">
            <v>010602060701</v>
          </cell>
          <cell r="N901">
            <v>39.799999999999997</v>
          </cell>
        </row>
        <row r="902">
          <cell r="D902" t="str">
            <v>010602060701</v>
          </cell>
          <cell r="N902">
            <v>50.4</v>
          </cell>
        </row>
        <row r="903">
          <cell r="D903" t="str">
            <v>010602060701</v>
          </cell>
          <cell r="N903">
            <v>55</v>
          </cell>
        </row>
        <row r="904">
          <cell r="D904" t="str">
            <v>010602060701</v>
          </cell>
          <cell r="N904">
            <v>52.8</v>
          </cell>
        </row>
        <row r="905">
          <cell r="D905" t="str">
            <v>010602060701</v>
          </cell>
          <cell r="N905">
            <v>46.6</v>
          </cell>
        </row>
        <row r="906">
          <cell r="D906" t="str">
            <v>010602060701</v>
          </cell>
          <cell r="N906">
            <v>52.8</v>
          </cell>
        </row>
        <row r="907">
          <cell r="D907" t="str">
            <v>010602060701</v>
          </cell>
          <cell r="N907">
            <v>55.4</v>
          </cell>
        </row>
        <row r="908">
          <cell r="D908" t="str">
            <v>010602060701</v>
          </cell>
          <cell r="N908">
            <v>47.4</v>
          </cell>
        </row>
        <row r="909">
          <cell r="D909" t="str">
            <v>010602060701</v>
          </cell>
          <cell r="N909">
            <v>48</v>
          </cell>
        </row>
        <row r="910">
          <cell r="D910" t="str">
            <v>010602060701</v>
          </cell>
          <cell r="N910">
            <v>53</v>
          </cell>
        </row>
        <row r="911">
          <cell r="D911" t="str">
            <v>010602060701</v>
          </cell>
          <cell r="N911">
            <v>53.8</v>
          </cell>
        </row>
        <row r="912">
          <cell r="D912" t="str">
            <v>010602060701</v>
          </cell>
          <cell r="N912">
            <v>54.6</v>
          </cell>
        </row>
        <row r="913">
          <cell r="D913" t="str">
            <v>010602060701</v>
          </cell>
          <cell r="N913">
            <v>46.2</v>
          </cell>
        </row>
        <row r="914">
          <cell r="D914" t="str">
            <v>010602060701</v>
          </cell>
          <cell r="N914">
            <v>48.4</v>
          </cell>
        </row>
        <row r="915">
          <cell r="D915" t="str">
            <v>010602060701</v>
          </cell>
          <cell r="N915">
            <v>54.8</v>
          </cell>
        </row>
        <row r="916">
          <cell r="D916" t="str">
            <v>010602060701</v>
          </cell>
          <cell r="N916">
            <v>48.6</v>
          </cell>
        </row>
        <row r="917">
          <cell r="D917" t="str">
            <v>010602060701</v>
          </cell>
          <cell r="N917">
            <v>49.2</v>
          </cell>
        </row>
        <row r="918">
          <cell r="D918" t="str">
            <v>010602060701</v>
          </cell>
          <cell r="N918">
            <v>47.2</v>
          </cell>
        </row>
        <row r="919">
          <cell r="D919" t="str">
            <v>010602060701</v>
          </cell>
          <cell r="N919">
            <v>51.8</v>
          </cell>
        </row>
        <row r="920">
          <cell r="D920" t="str">
            <v>010602060701</v>
          </cell>
          <cell r="N920">
            <v>48.6</v>
          </cell>
        </row>
        <row r="921">
          <cell r="D921" t="str">
            <v>010602060701</v>
          </cell>
          <cell r="N921">
            <v>47.2</v>
          </cell>
        </row>
        <row r="922">
          <cell r="D922" t="str">
            <v>010602060701</v>
          </cell>
          <cell r="N922">
            <v>48</v>
          </cell>
        </row>
        <row r="923">
          <cell r="D923" t="str">
            <v>010602060701</v>
          </cell>
          <cell r="N923">
            <v>48.3</v>
          </cell>
        </row>
        <row r="924">
          <cell r="D924" t="str">
            <v>010602060701</v>
          </cell>
          <cell r="N924">
            <v>46.4</v>
          </cell>
        </row>
        <row r="925">
          <cell r="D925" t="str">
            <v>010602060701</v>
          </cell>
          <cell r="N925">
            <v>44</v>
          </cell>
        </row>
        <row r="926">
          <cell r="D926" t="str">
            <v>010602060701</v>
          </cell>
          <cell r="N926">
            <v>47.8</v>
          </cell>
        </row>
        <row r="927">
          <cell r="D927" t="str">
            <v>010602060701</v>
          </cell>
          <cell r="N927">
            <v>52.3</v>
          </cell>
        </row>
        <row r="928">
          <cell r="D928" t="str">
            <v>010602060701</v>
          </cell>
          <cell r="N928">
            <v>55</v>
          </cell>
        </row>
        <row r="929">
          <cell r="D929" t="str">
            <v>010602060701</v>
          </cell>
          <cell r="N929">
            <v>50.8</v>
          </cell>
        </row>
        <row r="930">
          <cell r="D930" t="str">
            <v>010602060701</v>
          </cell>
          <cell r="N930">
            <v>43.8</v>
          </cell>
        </row>
        <row r="931">
          <cell r="D931" t="str">
            <v>010602060701</v>
          </cell>
          <cell r="N931">
            <v>34.799999999999997</v>
          </cell>
        </row>
        <row r="932">
          <cell r="D932" t="str">
            <v>010602060701</v>
          </cell>
          <cell r="N932">
            <v>46</v>
          </cell>
        </row>
        <row r="933">
          <cell r="D933" t="str">
            <v>010602060701</v>
          </cell>
          <cell r="N933">
            <v>48.2</v>
          </cell>
        </row>
        <row r="934">
          <cell r="D934" t="str">
            <v>010602060701</v>
          </cell>
          <cell r="N934">
            <v>57.6</v>
          </cell>
        </row>
        <row r="935">
          <cell r="D935" t="str">
            <v>010602060701</v>
          </cell>
          <cell r="N935">
            <v>43.8</v>
          </cell>
        </row>
        <row r="936">
          <cell r="D936" t="str">
            <v>010602060701</v>
          </cell>
          <cell r="N936">
            <v>55</v>
          </cell>
        </row>
        <row r="937">
          <cell r="D937" t="str">
            <v>010602060701</v>
          </cell>
          <cell r="N937">
            <v>48.8</v>
          </cell>
        </row>
        <row r="938">
          <cell r="D938" t="str">
            <v>010602060701</v>
          </cell>
          <cell r="N938">
            <v>52.8</v>
          </cell>
        </row>
        <row r="939">
          <cell r="D939" t="str">
            <v>010602060701</v>
          </cell>
          <cell r="N939">
            <v>50.2</v>
          </cell>
        </row>
        <row r="940">
          <cell r="D940" t="str">
            <v>010602060701</v>
          </cell>
          <cell r="N940">
            <v>52</v>
          </cell>
        </row>
        <row r="941">
          <cell r="D941" t="str">
            <v>010602060701</v>
          </cell>
          <cell r="N941">
            <v>49</v>
          </cell>
        </row>
        <row r="942">
          <cell r="D942" t="str">
            <v>010602060701</v>
          </cell>
          <cell r="N942">
            <v>49.2</v>
          </cell>
        </row>
        <row r="943">
          <cell r="D943" t="str">
            <v>010602060701</v>
          </cell>
          <cell r="N943">
            <v>50.8</v>
          </cell>
        </row>
        <row r="944">
          <cell r="D944" t="str">
            <v>010602060701</v>
          </cell>
          <cell r="N944">
            <v>48.4</v>
          </cell>
        </row>
        <row r="945">
          <cell r="D945" t="str">
            <v>010602060701</v>
          </cell>
          <cell r="N945">
            <v>54.4</v>
          </cell>
        </row>
        <row r="946">
          <cell r="D946" t="str">
            <v>010602060701</v>
          </cell>
          <cell r="N946">
            <v>48.4</v>
          </cell>
        </row>
        <row r="947">
          <cell r="D947" t="str">
            <v>010602060701</v>
          </cell>
          <cell r="N947">
            <v>44.8</v>
          </cell>
        </row>
        <row r="948">
          <cell r="D948" t="str">
            <v>010602060701</v>
          </cell>
          <cell r="N948">
            <v>48.5</v>
          </cell>
        </row>
        <row r="949">
          <cell r="D949" t="str">
            <v>010602060701</v>
          </cell>
          <cell r="N949">
            <v>45.8</v>
          </cell>
        </row>
        <row r="950">
          <cell r="D950" t="str">
            <v>010602060701</v>
          </cell>
          <cell r="N950">
            <v>46</v>
          </cell>
        </row>
        <row r="951">
          <cell r="D951" t="str">
            <v>010602060701</v>
          </cell>
          <cell r="N951">
            <v>49</v>
          </cell>
        </row>
        <row r="952">
          <cell r="D952" t="str">
            <v>010602060701</v>
          </cell>
          <cell r="N952">
            <v>48.8</v>
          </cell>
        </row>
        <row r="953">
          <cell r="D953" t="str">
            <v>010602060701</v>
          </cell>
          <cell r="N953">
            <v>46.5</v>
          </cell>
        </row>
        <row r="954">
          <cell r="D954" t="str">
            <v>010602060701</v>
          </cell>
          <cell r="N954">
            <v>41.6</v>
          </cell>
        </row>
        <row r="955">
          <cell r="D955" t="str">
            <v>010602060701</v>
          </cell>
          <cell r="N955">
            <v>46</v>
          </cell>
        </row>
        <row r="956">
          <cell r="D956" t="str">
            <v>010602060701</v>
          </cell>
          <cell r="N956">
            <v>50.2</v>
          </cell>
        </row>
        <row r="957">
          <cell r="D957" t="str">
            <v>010602060701</v>
          </cell>
          <cell r="N957">
            <v>48</v>
          </cell>
        </row>
        <row r="958">
          <cell r="D958" t="str">
            <v>010602060701</v>
          </cell>
          <cell r="N958">
            <v>49.8</v>
          </cell>
        </row>
        <row r="959">
          <cell r="D959" t="str">
            <v>010602060701</v>
          </cell>
          <cell r="N959">
            <v>47.6</v>
          </cell>
        </row>
        <row r="960">
          <cell r="D960" t="str">
            <v>010602060701</v>
          </cell>
          <cell r="N960">
            <v>37.799999999999997</v>
          </cell>
        </row>
        <row r="961">
          <cell r="D961" t="str">
            <v>010602060701</v>
          </cell>
          <cell r="N961">
            <v>38.200000000000003</v>
          </cell>
        </row>
        <row r="962">
          <cell r="D962" t="str">
            <v>010602060701</v>
          </cell>
          <cell r="N962">
            <v>37.799999999999997</v>
          </cell>
        </row>
        <row r="963">
          <cell r="D963" t="str">
            <v>010602060701</v>
          </cell>
          <cell r="N963">
            <v>35.6</v>
          </cell>
        </row>
        <row r="964">
          <cell r="D964" t="str">
            <v>010602060701</v>
          </cell>
          <cell r="N964">
            <v>48</v>
          </cell>
        </row>
        <row r="965">
          <cell r="D965" t="str">
            <v>010602060701</v>
          </cell>
          <cell r="N965">
            <v>34.799999999999997</v>
          </cell>
        </row>
        <row r="966">
          <cell r="D966" t="str">
            <v>010602060701</v>
          </cell>
          <cell r="N966">
            <v>43.8</v>
          </cell>
        </row>
        <row r="967">
          <cell r="D967" t="str">
            <v>010602060701</v>
          </cell>
          <cell r="N967">
            <v>40</v>
          </cell>
        </row>
        <row r="968">
          <cell r="D968" t="str">
            <v>010602060701</v>
          </cell>
          <cell r="N968">
            <v>44</v>
          </cell>
        </row>
        <row r="969">
          <cell r="D969" t="str">
            <v>010602060701</v>
          </cell>
          <cell r="N969">
            <v>39.6</v>
          </cell>
        </row>
        <row r="970">
          <cell r="D970" t="str">
            <v>010602060701</v>
          </cell>
          <cell r="N970">
            <v>52</v>
          </cell>
        </row>
        <row r="971">
          <cell r="D971" t="str">
            <v>010602060701</v>
          </cell>
          <cell r="N971">
            <v>47.8</v>
          </cell>
        </row>
        <row r="972">
          <cell r="D972" t="str">
            <v>010803060101</v>
          </cell>
          <cell r="N972">
            <v>40.799999999999997</v>
          </cell>
        </row>
        <row r="973">
          <cell r="D973" t="str">
            <v>010803060101</v>
          </cell>
          <cell r="N973">
            <v>37</v>
          </cell>
        </row>
        <row r="974">
          <cell r="D974" t="str">
            <v>010803060101</v>
          </cell>
          <cell r="N974">
            <v>41.2</v>
          </cell>
        </row>
        <row r="975">
          <cell r="D975" t="str">
            <v>010803060101</v>
          </cell>
          <cell r="N975">
            <v>39.4</v>
          </cell>
        </row>
        <row r="976">
          <cell r="D976" t="str">
            <v>010803060101</v>
          </cell>
          <cell r="N976">
            <v>38.4</v>
          </cell>
        </row>
        <row r="977">
          <cell r="D977" t="str">
            <v>010803060101</v>
          </cell>
          <cell r="N977">
            <v>43.2</v>
          </cell>
        </row>
        <row r="978">
          <cell r="D978" t="str">
            <v>010803060101</v>
          </cell>
          <cell r="N978">
            <v>34</v>
          </cell>
        </row>
        <row r="979">
          <cell r="D979" t="str">
            <v>010803060101</v>
          </cell>
          <cell r="N979">
            <v>42.8</v>
          </cell>
        </row>
        <row r="980">
          <cell r="D980" t="str">
            <v>010803060101</v>
          </cell>
          <cell r="N980">
            <v>36.4</v>
          </cell>
        </row>
        <row r="981">
          <cell r="D981" t="str">
            <v>010803060101</v>
          </cell>
          <cell r="N981">
            <v>34.200000000000003</v>
          </cell>
        </row>
        <row r="982">
          <cell r="D982" t="str">
            <v>010803060101</v>
          </cell>
          <cell r="N982">
            <v>23.4</v>
          </cell>
        </row>
        <row r="983">
          <cell r="D983" t="str">
            <v>010910060401</v>
          </cell>
          <cell r="N983">
            <v>41.2</v>
          </cell>
        </row>
        <row r="984">
          <cell r="D984" t="str">
            <v>010910060301</v>
          </cell>
          <cell r="N984">
            <v>26</v>
          </cell>
        </row>
        <row r="985">
          <cell r="D985" t="str">
            <v>010910060601</v>
          </cell>
          <cell r="N985">
            <v>48.2</v>
          </cell>
        </row>
        <row r="986">
          <cell r="D986" t="str">
            <v>010803060101</v>
          </cell>
          <cell r="N986">
            <v>41.6</v>
          </cell>
        </row>
        <row r="987">
          <cell r="D987" t="str">
            <v>071502070101</v>
          </cell>
          <cell r="N987">
            <v>5.4</v>
          </cell>
        </row>
        <row r="988">
          <cell r="D988" t="str">
            <v>010402060601</v>
          </cell>
          <cell r="N988">
            <v>45.6</v>
          </cell>
        </row>
        <row r="989">
          <cell r="D989" t="str">
            <v>010402060401</v>
          </cell>
          <cell r="N989">
            <v>21</v>
          </cell>
        </row>
        <row r="990">
          <cell r="D990" t="str">
            <v>010402060401</v>
          </cell>
          <cell r="N990">
            <v>36.6</v>
          </cell>
        </row>
        <row r="991">
          <cell r="D991" t="str">
            <v>121502010101</v>
          </cell>
          <cell r="N991">
            <v>29</v>
          </cell>
        </row>
        <row r="992">
          <cell r="D992" t="str">
            <v>121502010101</v>
          </cell>
          <cell r="N992">
            <v>44.4</v>
          </cell>
        </row>
        <row r="993">
          <cell r="D993" t="str">
            <v>042002073301</v>
          </cell>
          <cell r="N993">
            <v>37.6</v>
          </cell>
        </row>
        <row r="994">
          <cell r="D994" t="str">
            <v>042002073301</v>
          </cell>
          <cell r="N994">
            <v>35.200000000000003</v>
          </cell>
        </row>
        <row r="995">
          <cell r="D995" t="str">
            <v>042002073301</v>
          </cell>
          <cell r="N995">
            <v>36.200000000000003</v>
          </cell>
        </row>
        <row r="996">
          <cell r="D996" t="str">
            <v>042002073301</v>
          </cell>
          <cell r="N996">
            <v>37</v>
          </cell>
        </row>
        <row r="997">
          <cell r="D997" t="str">
            <v>042002073301</v>
          </cell>
          <cell r="N997">
            <v>34.799999999999997</v>
          </cell>
        </row>
        <row r="998">
          <cell r="D998" t="str">
            <v>042002073801</v>
          </cell>
          <cell r="N998">
            <v>24</v>
          </cell>
        </row>
        <row r="999">
          <cell r="D999" t="str">
            <v>042002073301</v>
          </cell>
          <cell r="N999">
            <v>16</v>
          </cell>
        </row>
        <row r="1000">
          <cell r="D1000" t="str">
            <v>041902072901</v>
          </cell>
          <cell r="N1000">
            <v>15</v>
          </cell>
        </row>
        <row r="1001">
          <cell r="D1001" t="str">
            <v>172002073301</v>
          </cell>
          <cell r="N1001">
            <v>28.8</v>
          </cell>
        </row>
        <row r="1002">
          <cell r="D1002" t="str">
            <v>172002073801</v>
          </cell>
          <cell r="N1002">
            <v>32</v>
          </cell>
        </row>
        <row r="1003">
          <cell r="D1003" t="str">
            <v>172002073801</v>
          </cell>
          <cell r="N1003">
            <v>44.2</v>
          </cell>
        </row>
        <row r="1004">
          <cell r="D1004" t="str">
            <v>101902072901</v>
          </cell>
          <cell r="N1004">
            <v>21.8</v>
          </cell>
        </row>
        <row r="1005">
          <cell r="D1005" t="str">
            <v>102002073301</v>
          </cell>
          <cell r="N1005">
            <v>11.4</v>
          </cell>
        </row>
        <row r="1006">
          <cell r="D1006" t="str">
            <v>101002060701</v>
          </cell>
          <cell r="N1006">
            <v>11</v>
          </cell>
        </row>
        <row r="1007">
          <cell r="D1007" t="str">
            <v>101002061801</v>
          </cell>
          <cell r="N1007">
            <v>8.1999999999999993</v>
          </cell>
        </row>
        <row r="1008">
          <cell r="D1008" t="str">
            <v>141002093601</v>
          </cell>
          <cell r="N1008">
            <v>3.8</v>
          </cell>
        </row>
        <row r="1009">
          <cell r="D1009" t="str">
            <v>141002093501</v>
          </cell>
          <cell r="N1009">
            <v>1.4</v>
          </cell>
        </row>
        <row r="1010">
          <cell r="D1010" t="str">
            <v>171802092901</v>
          </cell>
          <cell r="N1010">
            <v>5.6</v>
          </cell>
        </row>
        <row r="1011">
          <cell r="D1011" t="str">
            <v>051302070101</v>
          </cell>
          <cell r="N1011">
            <v>8.8000000000000007</v>
          </cell>
        </row>
        <row r="1012">
          <cell r="D1012" t="str">
            <v>082102010101</v>
          </cell>
          <cell r="N1012">
            <v>24.8</v>
          </cell>
        </row>
        <row r="1013">
          <cell r="D1013" t="str">
            <v>081702070101</v>
          </cell>
          <cell r="N1013">
            <v>37.6</v>
          </cell>
        </row>
        <row r="1014">
          <cell r="D1014" t="str">
            <v>081103072101</v>
          </cell>
          <cell r="N1014">
            <v>2.8</v>
          </cell>
        </row>
        <row r="1015">
          <cell r="D1015" t="str">
            <v>080503071001</v>
          </cell>
          <cell r="N1015">
            <v>9.1999999999999993</v>
          </cell>
        </row>
        <row r="1016">
          <cell r="D1016" t="str">
            <v>041802092901</v>
          </cell>
          <cell r="N1016">
            <v>6.6</v>
          </cell>
        </row>
        <row r="1017">
          <cell r="D1017" t="str">
            <v>041402092101</v>
          </cell>
          <cell r="N1017">
            <v>12.2</v>
          </cell>
        </row>
        <row r="1018">
          <cell r="D1018" t="str">
            <v>041402090701</v>
          </cell>
          <cell r="N1018">
            <v>8.1999999999999993</v>
          </cell>
        </row>
        <row r="1019">
          <cell r="D1019" t="str">
            <v>041402090701</v>
          </cell>
          <cell r="N1019">
            <v>15.6</v>
          </cell>
        </row>
        <row r="1020">
          <cell r="D1020" t="str">
            <v>041802092901</v>
          </cell>
          <cell r="N1020">
            <v>4.8</v>
          </cell>
        </row>
        <row r="1021">
          <cell r="D1021" t="str">
            <v>041402091901</v>
          </cell>
          <cell r="N1021">
            <v>22.4</v>
          </cell>
        </row>
        <row r="1022">
          <cell r="D1022" t="str">
            <v>091802062901</v>
          </cell>
          <cell r="N1022">
            <v>6.2</v>
          </cell>
        </row>
        <row r="1023">
          <cell r="D1023" t="str">
            <v>091802063301</v>
          </cell>
          <cell r="N1023">
            <v>19.8</v>
          </cell>
        </row>
        <row r="1024">
          <cell r="D1024" t="str">
            <v>191802092901</v>
          </cell>
          <cell r="N1024">
            <v>27.2</v>
          </cell>
        </row>
        <row r="1025">
          <cell r="D1025" t="str">
            <v>191802091901</v>
          </cell>
          <cell r="N1025">
            <v>5.8</v>
          </cell>
        </row>
        <row r="1026">
          <cell r="D1026" t="str">
            <v>121802093801</v>
          </cell>
          <cell r="N1026">
            <v>40.200000000000003</v>
          </cell>
        </row>
        <row r="1027">
          <cell r="D1027" t="str">
            <v>121802093101</v>
          </cell>
          <cell r="N1027">
            <v>9.6</v>
          </cell>
        </row>
        <row r="1028">
          <cell r="D1028" t="str">
            <v>181802063901</v>
          </cell>
          <cell r="N1028">
            <v>14.9</v>
          </cell>
        </row>
        <row r="1029">
          <cell r="D1029" t="str">
            <v>011101060101</v>
          </cell>
          <cell r="N1029">
            <v>20</v>
          </cell>
        </row>
        <row r="1030">
          <cell r="D1030" t="str">
            <v>011101060101</v>
          </cell>
          <cell r="N1030">
            <v>36</v>
          </cell>
        </row>
        <row r="1031">
          <cell r="D1031" t="str">
            <v>011604071901</v>
          </cell>
          <cell r="N1031">
            <v>11.2</v>
          </cell>
        </row>
        <row r="1032">
          <cell r="D1032" t="str">
            <v>010502060904</v>
          </cell>
          <cell r="N1032">
            <v>37.4</v>
          </cell>
        </row>
        <row r="1033">
          <cell r="D1033" t="str">
            <v>011004073701</v>
          </cell>
          <cell r="N1033">
            <v>27.2</v>
          </cell>
        </row>
        <row r="1034">
          <cell r="D1034" t="str">
            <v>010602060701</v>
          </cell>
          <cell r="N1034">
            <v>6.6</v>
          </cell>
        </row>
        <row r="1035">
          <cell r="D1035" t="str">
            <v>010910060201</v>
          </cell>
          <cell r="N1035">
            <v>15.6</v>
          </cell>
        </row>
        <row r="1036">
          <cell r="D1036" t="str">
            <v>010910060301</v>
          </cell>
          <cell r="N1036">
            <v>50.2</v>
          </cell>
        </row>
        <row r="1037">
          <cell r="D1037" t="str">
            <v>010910060401</v>
          </cell>
          <cell r="N1037">
            <v>16.8</v>
          </cell>
        </row>
        <row r="1038">
          <cell r="D1038" t="str">
            <v>010910060601</v>
          </cell>
          <cell r="N1038">
            <v>45.8</v>
          </cell>
        </row>
        <row r="1039">
          <cell r="D1039" t="str">
            <v>202202034101</v>
          </cell>
          <cell r="N1039">
            <v>1492</v>
          </cell>
        </row>
        <row r="1040">
          <cell r="D1040" t="str">
            <v>202202034001</v>
          </cell>
          <cell r="N1040">
            <v>270</v>
          </cell>
        </row>
        <row r="1041">
          <cell r="D1041" t="str">
            <v>121802093801</v>
          </cell>
          <cell r="N1041">
            <v>40.200000000000003</v>
          </cell>
        </row>
        <row r="1042">
          <cell r="D1042" t="str">
            <v>121802093801</v>
          </cell>
          <cell r="N1042">
            <v>38.4</v>
          </cell>
        </row>
        <row r="1043">
          <cell r="D1043" t="str">
            <v>121802093801</v>
          </cell>
          <cell r="N1043">
            <v>6.8</v>
          </cell>
        </row>
        <row r="1044">
          <cell r="D1044" t="str">
            <v>041402091901</v>
          </cell>
          <cell r="N1044">
            <v>0.88</v>
          </cell>
        </row>
        <row r="1045">
          <cell r="D1045" t="str">
            <v>041802092901</v>
          </cell>
          <cell r="N1045">
            <v>26.9</v>
          </cell>
        </row>
        <row r="1046">
          <cell r="D1046" t="str">
            <v>041402090701</v>
          </cell>
          <cell r="N1046">
            <v>2.6</v>
          </cell>
        </row>
        <row r="1047">
          <cell r="D1047" t="str">
            <v>041402091901</v>
          </cell>
          <cell r="N1047">
            <v>2</v>
          </cell>
        </row>
        <row r="1048">
          <cell r="D1048" t="str">
            <v>041402091801</v>
          </cell>
          <cell r="N1048">
            <v>1.6</v>
          </cell>
        </row>
        <row r="1049">
          <cell r="D1049" t="str">
            <v>OPEN BLUE</v>
          </cell>
          <cell r="N1049">
            <v>0</v>
          </cell>
        </row>
        <row r="1050">
          <cell r="D1050" t="str">
            <v>OPEN BLUE</v>
          </cell>
          <cell r="N1050">
            <v>0</v>
          </cell>
        </row>
        <row r="1051">
          <cell r="D1051" t="str">
            <v>OPEN BLUE</v>
          </cell>
          <cell r="N1051">
            <v>0</v>
          </cell>
        </row>
        <row r="1052">
          <cell r="D1052" t="str">
            <v>OPEN BLUE</v>
          </cell>
          <cell r="N1052">
            <v>0</v>
          </cell>
        </row>
        <row r="1053">
          <cell r="D1053" t="str">
            <v>OPEN BLUE</v>
          </cell>
          <cell r="N1053">
            <v>0</v>
          </cell>
        </row>
        <row r="1054">
          <cell r="D1054" t="str">
            <v>OPEN BLUE</v>
          </cell>
          <cell r="N1054">
            <v>0</v>
          </cell>
        </row>
        <row r="1055">
          <cell r="D1055" t="str">
            <v>OPEN BLUE</v>
          </cell>
          <cell r="N1055">
            <v>0</v>
          </cell>
        </row>
        <row r="1056">
          <cell r="D1056" t="str">
            <v>080503071001</v>
          </cell>
          <cell r="N1056">
            <v>43.4</v>
          </cell>
        </row>
        <row r="1057">
          <cell r="D1057" t="str">
            <v>080503071001</v>
          </cell>
          <cell r="N1057">
            <v>42</v>
          </cell>
        </row>
        <row r="1058">
          <cell r="D1058" t="str">
            <v>080503071001</v>
          </cell>
          <cell r="N1058">
            <v>40.799999999999997</v>
          </cell>
        </row>
        <row r="1059">
          <cell r="D1059" t="str">
            <v>080503071001</v>
          </cell>
          <cell r="N1059">
            <v>42.8</v>
          </cell>
        </row>
        <row r="1060">
          <cell r="D1060" t="str">
            <v>080503071001</v>
          </cell>
          <cell r="N1060">
            <v>43.2</v>
          </cell>
        </row>
        <row r="1061">
          <cell r="D1061" t="str">
            <v>080503071001</v>
          </cell>
          <cell r="N1061">
            <v>7.8</v>
          </cell>
        </row>
        <row r="1062">
          <cell r="D1062" t="str">
            <v>080503070901</v>
          </cell>
          <cell r="N1062">
            <v>37.799999999999997</v>
          </cell>
        </row>
        <row r="1063">
          <cell r="D1063" t="str">
            <v>080503070901</v>
          </cell>
          <cell r="N1063">
            <v>37.200000000000003</v>
          </cell>
        </row>
        <row r="1064">
          <cell r="D1064" t="str">
            <v>080503070901</v>
          </cell>
          <cell r="N1064">
            <v>37.4</v>
          </cell>
        </row>
        <row r="1065">
          <cell r="D1065" t="str">
            <v>080503070901</v>
          </cell>
          <cell r="N1065">
            <v>37.200000000000003</v>
          </cell>
        </row>
        <row r="1066">
          <cell r="D1066" t="str">
            <v>080503070901</v>
          </cell>
          <cell r="N1066">
            <v>39.799999999999997</v>
          </cell>
        </row>
        <row r="1067">
          <cell r="D1067" t="str">
            <v>080503070901</v>
          </cell>
          <cell r="N1067">
            <v>37.6</v>
          </cell>
        </row>
        <row r="1068">
          <cell r="D1068" t="str">
            <v>080503070901</v>
          </cell>
          <cell r="N1068">
            <v>36</v>
          </cell>
        </row>
        <row r="1069">
          <cell r="D1069" t="str">
            <v>080503070901</v>
          </cell>
          <cell r="N1069">
            <v>13.4</v>
          </cell>
        </row>
        <row r="1070">
          <cell r="D1070" t="str">
            <v>081602060701</v>
          </cell>
          <cell r="N1070">
            <v>35</v>
          </cell>
        </row>
        <row r="1071">
          <cell r="D1071" t="str">
            <v>081602060701</v>
          </cell>
          <cell r="N1071">
            <v>35</v>
          </cell>
        </row>
        <row r="1072">
          <cell r="D1072" t="str">
            <v>081602060701</v>
          </cell>
          <cell r="N1072">
            <v>35</v>
          </cell>
        </row>
        <row r="1073">
          <cell r="D1073" t="str">
            <v>081602060701</v>
          </cell>
          <cell r="N1073">
            <v>35</v>
          </cell>
        </row>
        <row r="1074">
          <cell r="D1074" t="str">
            <v>081602060701</v>
          </cell>
          <cell r="N1074">
            <v>35</v>
          </cell>
        </row>
        <row r="1075">
          <cell r="D1075" t="str">
            <v>081602060701</v>
          </cell>
          <cell r="N1075">
            <v>36</v>
          </cell>
        </row>
        <row r="1076">
          <cell r="D1076" t="str">
            <v>080503071001</v>
          </cell>
          <cell r="N1076">
            <v>33.799999999999997</v>
          </cell>
        </row>
        <row r="1077">
          <cell r="D1077" t="str">
            <v>080503070901</v>
          </cell>
          <cell r="N1077">
            <v>10.6</v>
          </cell>
        </row>
        <row r="1078">
          <cell r="D1078" t="str">
            <v>081103072101</v>
          </cell>
          <cell r="N1078">
            <v>32</v>
          </cell>
        </row>
        <row r="1079">
          <cell r="D1079" t="str">
            <v>081103072101</v>
          </cell>
          <cell r="N1079">
            <v>36</v>
          </cell>
        </row>
        <row r="1080">
          <cell r="D1080" t="str">
            <v>081103072101</v>
          </cell>
          <cell r="N1080">
            <v>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IDAS"/>
    </sheetNames>
    <sheetDataSet>
      <sheetData sheetId="0">
        <row r="2">
          <cell r="D2" t="str">
            <v>081402070201</v>
          </cell>
          <cell r="N2">
            <v>40.299999999999997</v>
          </cell>
        </row>
        <row r="3">
          <cell r="D3" t="str">
            <v>081402070201</v>
          </cell>
          <cell r="N3">
            <v>42.1</v>
          </cell>
        </row>
        <row r="4">
          <cell r="D4" t="str">
            <v>081402070201</v>
          </cell>
          <cell r="N4">
            <v>20.8</v>
          </cell>
        </row>
        <row r="5">
          <cell r="D5" t="str">
            <v>010903060401</v>
          </cell>
          <cell r="N5">
            <v>44.6</v>
          </cell>
        </row>
        <row r="6">
          <cell r="D6" t="str">
            <v>010903060401</v>
          </cell>
          <cell r="N6">
            <v>27.2</v>
          </cell>
        </row>
        <row r="7">
          <cell r="D7" t="str">
            <v>010903060401</v>
          </cell>
          <cell r="N7">
            <v>8</v>
          </cell>
        </row>
        <row r="8">
          <cell r="D8" t="str">
            <v>010903060401</v>
          </cell>
          <cell r="N8">
            <v>14.2</v>
          </cell>
        </row>
        <row r="9">
          <cell r="D9" t="str">
            <v>010903060401</v>
          </cell>
          <cell r="N9">
            <v>51.2</v>
          </cell>
        </row>
        <row r="10">
          <cell r="D10" t="str">
            <v>010903060401</v>
          </cell>
          <cell r="N10">
            <v>47.2</v>
          </cell>
        </row>
        <row r="11">
          <cell r="D11" t="str">
            <v>010903060401</v>
          </cell>
          <cell r="N11">
            <v>22.6</v>
          </cell>
        </row>
        <row r="12">
          <cell r="D12" t="str">
            <v>010903060401</v>
          </cell>
          <cell r="N12">
            <v>36.799999999999997</v>
          </cell>
        </row>
        <row r="13">
          <cell r="D13" t="str">
            <v>010903060401</v>
          </cell>
          <cell r="N13">
            <v>35.9</v>
          </cell>
        </row>
        <row r="14">
          <cell r="D14" t="str">
            <v>010903060401</v>
          </cell>
          <cell r="N14">
            <v>45.8</v>
          </cell>
        </row>
        <row r="15">
          <cell r="D15" t="str">
            <v>010903060401</v>
          </cell>
          <cell r="N15">
            <v>43.8</v>
          </cell>
        </row>
        <row r="16">
          <cell r="D16" t="str">
            <v>010903060401</v>
          </cell>
          <cell r="N16">
            <v>38</v>
          </cell>
        </row>
        <row r="17">
          <cell r="D17" t="str">
            <v>010903060401</v>
          </cell>
          <cell r="N17">
            <v>46.4</v>
          </cell>
        </row>
        <row r="18">
          <cell r="D18" t="str">
            <v>010903060401</v>
          </cell>
          <cell r="N18">
            <v>26.8</v>
          </cell>
        </row>
        <row r="19">
          <cell r="D19" t="str">
            <v>010903060401</v>
          </cell>
          <cell r="N19">
            <v>8.6</v>
          </cell>
        </row>
        <row r="20">
          <cell r="D20" t="str">
            <v>010903060401</v>
          </cell>
          <cell r="N20">
            <v>16.2</v>
          </cell>
        </row>
        <row r="21">
          <cell r="D21" t="str">
            <v>010903060401</v>
          </cell>
          <cell r="N21">
            <v>41.2</v>
          </cell>
        </row>
        <row r="22">
          <cell r="D22" t="str">
            <v>010903060401</v>
          </cell>
          <cell r="N22">
            <v>48.4</v>
          </cell>
        </row>
        <row r="23">
          <cell r="D23" t="str">
            <v>010903060401</v>
          </cell>
          <cell r="N23">
            <v>17.7</v>
          </cell>
        </row>
        <row r="24">
          <cell r="D24" t="str">
            <v>010904060301</v>
          </cell>
          <cell r="N24">
            <v>18</v>
          </cell>
        </row>
        <row r="25">
          <cell r="D25" t="str">
            <v>010910060301</v>
          </cell>
          <cell r="N25">
            <v>50.2</v>
          </cell>
        </row>
        <row r="26">
          <cell r="D26" t="str">
            <v>010904060301</v>
          </cell>
          <cell r="N26">
            <v>16.029999999999998</v>
          </cell>
        </row>
        <row r="27">
          <cell r="D27" t="str">
            <v>010903060401</v>
          </cell>
          <cell r="N27">
            <v>43.6</v>
          </cell>
        </row>
        <row r="28">
          <cell r="D28" t="str">
            <v>010903060401</v>
          </cell>
          <cell r="N28">
            <v>18.8</v>
          </cell>
        </row>
        <row r="29">
          <cell r="D29" t="str">
            <v>010903060401</v>
          </cell>
          <cell r="N29">
            <v>43.6</v>
          </cell>
        </row>
        <row r="30">
          <cell r="D30" t="str">
            <v>010903060401</v>
          </cell>
          <cell r="N30">
            <v>31.2</v>
          </cell>
        </row>
        <row r="31">
          <cell r="D31" t="str">
            <v>010903060401</v>
          </cell>
          <cell r="N31">
            <v>47.4</v>
          </cell>
        </row>
        <row r="32">
          <cell r="D32" t="str">
            <v>010903060401</v>
          </cell>
          <cell r="N32">
            <v>44</v>
          </cell>
        </row>
        <row r="33">
          <cell r="D33" t="str">
            <v>010903060401</v>
          </cell>
          <cell r="N33">
            <v>36.700000000000003</v>
          </cell>
        </row>
        <row r="34">
          <cell r="D34" t="str">
            <v>010903060401</v>
          </cell>
          <cell r="N34">
            <v>42.2</v>
          </cell>
        </row>
        <row r="35">
          <cell r="D35" t="str">
            <v>010903060401</v>
          </cell>
          <cell r="N35">
            <v>19.100000000000001</v>
          </cell>
        </row>
        <row r="36">
          <cell r="D36" t="str">
            <v>010903060401</v>
          </cell>
          <cell r="N36">
            <v>47.2</v>
          </cell>
        </row>
        <row r="37">
          <cell r="D37" t="str">
            <v>010903060401</v>
          </cell>
          <cell r="N37">
            <v>7.3</v>
          </cell>
        </row>
        <row r="38">
          <cell r="D38" t="str">
            <v>010903060401</v>
          </cell>
          <cell r="N38">
            <v>45.8</v>
          </cell>
        </row>
        <row r="39">
          <cell r="D39" t="str">
            <v>010903060401</v>
          </cell>
          <cell r="N39">
            <v>7.2</v>
          </cell>
        </row>
        <row r="40">
          <cell r="D40" t="str">
            <v>010903060401</v>
          </cell>
          <cell r="N40">
            <v>43.4</v>
          </cell>
        </row>
        <row r="41">
          <cell r="D41" t="str">
            <v>010903060401</v>
          </cell>
          <cell r="N41">
            <v>42</v>
          </cell>
        </row>
        <row r="42">
          <cell r="D42" t="str">
            <v>010903060401</v>
          </cell>
          <cell r="N42">
            <v>16.399999999999999</v>
          </cell>
        </row>
        <row r="43">
          <cell r="D43" t="str">
            <v>010903060401</v>
          </cell>
          <cell r="N43">
            <v>44.4</v>
          </cell>
        </row>
        <row r="44">
          <cell r="D44" t="str">
            <v>010903060401</v>
          </cell>
          <cell r="N44">
            <v>46.8</v>
          </cell>
        </row>
        <row r="45">
          <cell r="D45" t="str">
            <v>010903060401</v>
          </cell>
          <cell r="N45">
            <v>15.4</v>
          </cell>
        </row>
        <row r="46">
          <cell r="D46" t="str">
            <v>010903060401</v>
          </cell>
          <cell r="N46">
            <v>42.2</v>
          </cell>
        </row>
        <row r="47">
          <cell r="D47" t="str">
            <v>010903060401</v>
          </cell>
          <cell r="N47">
            <v>22.6</v>
          </cell>
        </row>
        <row r="48">
          <cell r="D48" t="str">
            <v>010903060401</v>
          </cell>
          <cell r="N48">
            <v>47.4</v>
          </cell>
        </row>
        <row r="49">
          <cell r="D49" t="str">
            <v>010903060401</v>
          </cell>
          <cell r="N49">
            <v>20.8</v>
          </cell>
        </row>
        <row r="50">
          <cell r="D50" t="str">
            <v>010903060401</v>
          </cell>
          <cell r="N50">
            <v>47.8</v>
          </cell>
        </row>
        <row r="51">
          <cell r="D51" t="str">
            <v>010903060401</v>
          </cell>
          <cell r="N51">
            <v>46.2</v>
          </cell>
        </row>
        <row r="52">
          <cell r="D52" t="str">
            <v>010903060401</v>
          </cell>
          <cell r="N52">
            <v>8.1999999999999993</v>
          </cell>
        </row>
        <row r="53">
          <cell r="D53" t="str">
            <v>010903060401</v>
          </cell>
          <cell r="N53">
            <v>45.6</v>
          </cell>
        </row>
        <row r="54">
          <cell r="D54" t="str">
            <v>010903060401</v>
          </cell>
          <cell r="N54">
            <v>43.6</v>
          </cell>
        </row>
        <row r="55">
          <cell r="D55" t="str">
            <v>010903060401</v>
          </cell>
          <cell r="N55">
            <v>34.4</v>
          </cell>
        </row>
        <row r="56">
          <cell r="D56" t="str">
            <v>010903060401</v>
          </cell>
          <cell r="N56">
            <v>45</v>
          </cell>
        </row>
        <row r="57">
          <cell r="D57" t="str">
            <v>010903060401</v>
          </cell>
          <cell r="N57">
            <v>49.6</v>
          </cell>
        </row>
        <row r="58">
          <cell r="D58" t="str">
            <v>010903060401</v>
          </cell>
          <cell r="N58">
            <v>7.2</v>
          </cell>
        </row>
        <row r="59">
          <cell r="D59" t="str">
            <v>010903060401</v>
          </cell>
          <cell r="N59">
            <v>41.6</v>
          </cell>
        </row>
        <row r="60">
          <cell r="D60" t="str">
            <v>010903060401</v>
          </cell>
          <cell r="N60">
            <v>46.6</v>
          </cell>
        </row>
        <row r="61">
          <cell r="D61" t="str">
            <v>010903060401</v>
          </cell>
          <cell r="N61">
            <v>7.9</v>
          </cell>
        </row>
        <row r="62">
          <cell r="D62" t="str">
            <v>010903060401</v>
          </cell>
          <cell r="N62">
            <v>12.2</v>
          </cell>
        </row>
        <row r="63">
          <cell r="D63" t="str">
            <v>010904060401</v>
          </cell>
          <cell r="N63">
            <v>6.26</v>
          </cell>
        </row>
        <row r="64">
          <cell r="D64" t="str">
            <v>051002092201</v>
          </cell>
          <cell r="N64">
            <v>1.3</v>
          </cell>
        </row>
        <row r="65">
          <cell r="D65" t="str">
            <v>141002093501</v>
          </cell>
          <cell r="N65">
            <v>2.6</v>
          </cell>
        </row>
        <row r="66">
          <cell r="D66" t="str">
            <v>010903060401</v>
          </cell>
          <cell r="N66">
            <v>44</v>
          </cell>
        </row>
        <row r="67">
          <cell r="D67" t="str">
            <v>010903060401</v>
          </cell>
          <cell r="N67">
            <v>17.8</v>
          </cell>
        </row>
        <row r="68">
          <cell r="D68" t="str">
            <v>010903060401</v>
          </cell>
          <cell r="N68">
            <v>45.4</v>
          </cell>
        </row>
        <row r="69">
          <cell r="D69" t="str">
            <v>010903060401</v>
          </cell>
          <cell r="N69">
            <v>48.4</v>
          </cell>
        </row>
        <row r="70">
          <cell r="D70" t="str">
            <v>010903060401</v>
          </cell>
          <cell r="N70">
            <v>7</v>
          </cell>
        </row>
        <row r="71">
          <cell r="D71" t="str">
            <v>010903060401</v>
          </cell>
          <cell r="N71">
            <v>44.8</v>
          </cell>
        </row>
        <row r="72">
          <cell r="D72" t="str">
            <v>010903060401</v>
          </cell>
          <cell r="N72">
            <v>17.600000000000001</v>
          </cell>
        </row>
        <row r="73">
          <cell r="D73" t="str">
            <v>010903060401</v>
          </cell>
          <cell r="N73">
            <v>45</v>
          </cell>
        </row>
        <row r="74">
          <cell r="D74" t="str">
            <v>010903060401</v>
          </cell>
          <cell r="N74">
            <v>7.6</v>
          </cell>
        </row>
        <row r="75">
          <cell r="D75" t="str">
            <v>010903060401</v>
          </cell>
          <cell r="N75">
            <v>6.2</v>
          </cell>
        </row>
        <row r="76">
          <cell r="D76" t="str">
            <v>010903060401</v>
          </cell>
          <cell r="N76">
            <v>7.6</v>
          </cell>
        </row>
        <row r="77">
          <cell r="D77" t="str">
            <v>010903060401</v>
          </cell>
          <cell r="N77">
            <v>45</v>
          </cell>
        </row>
        <row r="78">
          <cell r="D78" t="str">
            <v>010903060401</v>
          </cell>
          <cell r="N78">
            <v>46</v>
          </cell>
        </row>
        <row r="79">
          <cell r="D79" t="str">
            <v>010903060401</v>
          </cell>
          <cell r="N79">
            <v>40.200000000000003</v>
          </cell>
        </row>
        <row r="80">
          <cell r="D80" t="str">
            <v>010903060401</v>
          </cell>
          <cell r="N80">
            <v>45.8</v>
          </cell>
        </row>
        <row r="81">
          <cell r="D81" t="str">
            <v>010903060401</v>
          </cell>
          <cell r="N81">
            <v>26.8</v>
          </cell>
        </row>
        <row r="82">
          <cell r="D82" t="str">
            <v>010903060401</v>
          </cell>
          <cell r="N82">
            <v>46.8</v>
          </cell>
        </row>
        <row r="83">
          <cell r="D83" t="str">
            <v>010903060401</v>
          </cell>
          <cell r="N83">
            <v>17.600000000000001</v>
          </cell>
        </row>
        <row r="84">
          <cell r="D84" t="str">
            <v>010903060401</v>
          </cell>
          <cell r="N84">
            <v>49.4</v>
          </cell>
        </row>
        <row r="85">
          <cell r="D85" t="str">
            <v>010903060401</v>
          </cell>
          <cell r="N85">
            <v>20</v>
          </cell>
        </row>
        <row r="86">
          <cell r="D86" t="str">
            <v>010903060401</v>
          </cell>
          <cell r="N86">
            <v>40.6</v>
          </cell>
        </row>
        <row r="87">
          <cell r="D87" t="str">
            <v>010903060401</v>
          </cell>
          <cell r="N87">
            <v>43.8</v>
          </cell>
        </row>
        <row r="88">
          <cell r="D88" t="str">
            <v>010903060401</v>
          </cell>
          <cell r="N88">
            <v>5.4</v>
          </cell>
        </row>
        <row r="89">
          <cell r="D89" t="str">
            <v>010903060401</v>
          </cell>
          <cell r="N89">
            <v>6.8</v>
          </cell>
        </row>
        <row r="90">
          <cell r="D90" t="str">
            <v>010903060401</v>
          </cell>
          <cell r="N90">
            <v>38.6</v>
          </cell>
        </row>
        <row r="91">
          <cell r="D91" t="str">
            <v>010903060401</v>
          </cell>
          <cell r="N91">
            <v>47.6</v>
          </cell>
        </row>
        <row r="92">
          <cell r="D92" t="str">
            <v>010903060401</v>
          </cell>
          <cell r="N92">
            <v>49.2</v>
          </cell>
        </row>
        <row r="93">
          <cell r="D93" t="str">
            <v>010903060401</v>
          </cell>
          <cell r="N93">
            <v>28.2</v>
          </cell>
        </row>
        <row r="94">
          <cell r="D94" t="str">
            <v>010903060401</v>
          </cell>
          <cell r="N94">
            <v>44.6</v>
          </cell>
        </row>
        <row r="95">
          <cell r="D95" t="str">
            <v>010903060401</v>
          </cell>
          <cell r="N95">
            <v>43</v>
          </cell>
        </row>
        <row r="96">
          <cell r="D96" t="str">
            <v>010903060401</v>
          </cell>
          <cell r="N96">
            <v>47.6</v>
          </cell>
        </row>
        <row r="97">
          <cell r="D97" t="str">
            <v>010903060401</v>
          </cell>
          <cell r="N97">
            <v>20.399999999999999</v>
          </cell>
        </row>
        <row r="98">
          <cell r="D98" t="str">
            <v>010903060401</v>
          </cell>
          <cell r="N98">
            <v>12.2</v>
          </cell>
        </row>
        <row r="99">
          <cell r="D99" t="str">
            <v>131302090201</v>
          </cell>
          <cell r="N99">
            <v>39.6</v>
          </cell>
        </row>
        <row r="100">
          <cell r="D100" t="str">
            <v>131302090201</v>
          </cell>
          <cell r="N100">
            <v>39.200000000000003</v>
          </cell>
        </row>
        <row r="101">
          <cell r="D101" t="str">
            <v>131302090201</v>
          </cell>
          <cell r="N101">
            <v>35.799999999999997</v>
          </cell>
        </row>
        <row r="102">
          <cell r="D102" t="str">
            <v>010903060401</v>
          </cell>
          <cell r="N102">
            <v>30.4</v>
          </cell>
        </row>
        <row r="103">
          <cell r="D103" t="str">
            <v>010903060401</v>
          </cell>
          <cell r="N103">
            <v>14</v>
          </cell>
        </row>
        <row r="104">
          <cell r="D104" t="str">
            <v>010903060401</v>
          </cell>
          <cell r="N104">
            <v>19.600000000000001</v>
          </cell>
        </row>
        <row r="105">
          <cell r="D105" t="str">
            <v>010903060401</v>
          </cell>
          <cell r="N105">
            <v>38</v>
          </cell>
        </row>
        <row r="106">
          <cell r="D106" t="str">
            <v>010903060401</v>
          </cell>
          <cell r="N106">
            <v>46.2</v>
          </cell>
        </row>
        <row r="107">
          <cell r="D107" t="str">
            <v>010903060401</v>
          </cell>
          <cell r="N107">
            <v>13.8</v>
          </cell>
        </row>
        <row r="108">
          <cell r="D108" t="str">
            <v>010903060401</v>
          </cell>
          <cell r="N108">
            <v>7</v>
          </cell>
        </row>
        <row r="109">
          <cell r="D109" t="str">
            <v>010903060401</v>
          </cell>
          <cell r="N109">
            <v>50</v>
          </cell>
        </row>
        <row r="110">
          <cell r="D110" t="str">
            <v>010903060401</v>
          </cell>
          <cell r="N110">
            <v>19.8</v>
          </cell>
        </row>
        <row r="111">
          <cell r="D111" t="str">
            <v>010903060401</v>
          </cell>
          <cell r="N111">
            <v>47.2</v>
          </cell>
        </row>
        <row r="112">
          <cell r="D112" t="str">
            <v>010903060401</v>
          </cell>
          <cell r="N112">
            <v>33.6</v>
          </cell>
        </row>
        <row r="113">
          <cell r="D113" t="str">
            <v>010903060401</v>
          </cell>
          <cell r="N113">
            <v>7.2</v>
          </cell>
        </row>
        <row r="114">
          <cell r="D114" t="str">
            <v>010903060401</v>
          </cell>
          <cell r="N114">
            <v>47.8</v>
          </cell>
        </row>
        <row r="115">
          <cell r="D115" t="str">
            <v>010903060401</v>
          </cell>
          <cell r="N115">
            <v>45.4</v>
          </cell>
        </row>
        <row r="116">
          <cell r="D116" t="str">
            <v>010903060401</v>
          </cell>
          <cell r="N116">
            <v>44.2</v>
          </cell>
        </row>
        <row r="117">
          <cell r="D117" t="str">
            <v>010903060401</v>
          </cell>
          <cell r="N117">
            <v>39</v>
          </cell>
        </row>
        <row r="118">
          <cell r="D118" t="str">
            <v>010903060401</v>
          </cell>
          <cell r="N118">
            <v>45.4</v>
          </cell>
        </row>
        <row r="119">
          <cell r="D119" t="str">
            <v>010903060401</v>
          </cell>
          <cell r="N119">
            <v>17.8</v>
          </cell>
        </row>
        <row r="120">
          <cell r="D120" t="str">
            <v>010903060401</v>
          </cell>
          <cell r="N120">
            <v>44.6</v>
          </cell>
        </row>
        <row r="121">
          <cell r="D121" t="str">
            <v>010903060401</v>
          </cell>
          <cell r="N121">
            <v>32.799999999999997</v>
          </cell>
        </row>
        <row r="122">
          <cell r="D122" t="str">
            <v>010903060401</v>
          </cell>
          <cell r="N122">
            <v>48.6</v>
          </cell>
        </row>
        <row r="123">
          <cell r="D123" t="str">
            <v>010903060401</v>
          </cell>
          <cell r="N123">
            <v>47.4</v>
          </cell>
        </row>
        <row r="124">
          <cell r="D124" t="str">
            <v>010903060401</v>
          </cell>
          <cell r="N124">
            <v>11.8</v>
          </cell>
        </row>
        <row r="125">
          <cell r="D125" t="str">
            <v>010903060401</v>
          </cell>
          <cell r="N125">
            <v>48</v>
          </cell>
        </row>
        <row r="126">
          <cell r="D126" t="str">
            <v>010903060401</v>
          </cell>
          <cell r="N126">
            <v>5.4</v>
          </cell>
        </row>
        <row r="127">
          <cell r="D127" t="str">
            <v>010903060401</v>
          </cell>
          <cell r="N127">
            <v>49</v>
          </cell>
        </row>
        <row r="128">
          <cell r="D128" t="str">
            <v>010903060401</v>
          </cell>
          <cell r="N128">
            <v>48.6</v>
          </cell>
        </row>
        <row r="129">
          <cell r="D129" t="str">
            <v>010903060401</v>
          </cell>
          <cell r="N129">
            <v>46.6</v>
          </cell>
        </row>
        <row r="130">
          <cell r="D130" t="str">
            <v>010903060401</v>
          </cell>
          <cell r="N130">
            <v>7.6</v>
          </cell>
        </row>
        <row r="131">
          <cell r="D131" t="str">
            <v>010903060401</v>
          </cell>
          <cell r="N131">
            <v>19.8</v>
          </cell>
        </row>
        <row r="132">
          <cell r="D132" t="str">
            <v>010903060401</v>
          </cell>
          <cell r="N132">
            <v>45.6</v>
          </cell>
        </row>
        <row r="133">
          <cell r="D133" t="str">
            <v>010903060401</v>
          </cell>
          <cell r="N133">
            <v>33.200000000000003</v>
          </cell>
        </row>
        <row r="134">
          <cell r="D134" t="str">
            <v>010903060401</v>
          </cell>
          <cell r="N134">
            <v>47</v>
          </cell>
        </row>
        <row r="135">
          <cell r="D135" t="str">
            <v>010903060401</v>
          </cell>
          <cell r="N135">
            <v>6.8</v>
          </cell>
        </row>
        <row r="136">
          <cell r="D136" t="str">
            <v>010903060401</v>
          </cell>
          <cell r="N136">
            <v>36.6</v>
          </cell>
        </row>
        <row r="137">
          <cell r="D137" t="str">
            <v>010903060401</v>
          </cell>
          <cell r="N137">
            <v>24.2</v>
          </cell>
        </row>
        <row r="138">
          <cell r="D138" t="str">
            <v>010903060401</v>
          </cell>
          <cell r="N138">
            <v>45.8</v>
          </cell>
        </row>
        <row r="139">
          <cell r="D139" t="str">
            <v>010903060401</v>
          </cell>
          <cell r="N139">
            <v>19.8</v>
          </cell>
        </row>
        <row r="140">
          <cell r="D140" t="str">
            <v>010903060401</v>
          </cell>
          <cell r="N140">
            <v>46.8</v>
          </cell>
        </row>
        <row r="141">
          <cell r="D141" t="str">
            <v>010903060401</v>
          </cell>
          <cell r="N141">
            <v>21.8</v>
          </cell>
        </row>
        <row r="142">
          <cell r="D142" t="str">
            <v>010903060401</v>
          </cell>
          <cell r="N142">
            <v>46.4</v>
          </cell>
        </row>
        <row r="143">
          <cell r="D143" t="str">
            <v>010903060401</v>
          </cell>
          <cell r="N143">
            <v>19.8</v>
          </cell>
        </row>
        <row r="144">
          <cell r="D144" t="str">
            <v>010903060401</v>
          </cell>
          <cell r="N144">
            <v>48.6</v>
          </cell>
        </row>
        <row r="145">
          <cell r="D145" t="str">
            <v>010903060401</v>
          </cell>
          <cell r="N145">
            <v>20</v>
          </cell>
        </row>
        <row r="146">
          <cell r="D146" t="str">
            <v>0</v>
          </cell>
          <cell r="N146">
            <v>381.5</v>
          </cell>
        </row>
        <row r="147">
          <cell r="D147" t="str">
            <v>0</v>
          </cell>
          <cell r="N147">
            <v>58.6</v>
          </cell>
        </row>
        <row r="148">
          <cell r="D148" t="str">
            <v>0</v>
          </cell>
          <cell r="N148">
            <v>1451.1</v>
          </cell>
        </row>
        <row r="149">
          <cell r="D149" t="str">
            <v>010903060401</v>
          </cell>
          <cell r="N149">
            <v>45.2</v>
          </cell>
        </row>
        <row r="150">
          <cell r="D150" t="str">
            <v>010903060401</v>
          </cell>
          <cell r="N150">
            <v>7.3</v>
          </cell>
        </row>
        <row r="151">
          <cell r="D151" t="str">
            <v>010903060401</v>
          </cell>
          <cell r="N151">
            <v>46.2</v>
          </cell>
        </row>
        <row r="152">
          <cell r="D152" t="str">
            <v>010903060401</v>
          </cell>
          <cell r="N152">
            <v>7.9</v>
          </cell>
        </row>
        <row r="153">
          <cell r="D153" t="str">
            <v>010903060401</v>
          </cell>
          <cell r="N153">
            <v>48.2</v>
          </cell>
        </row>
        <row r="154">
          <cell r="D154" t="str">
            <v>010903060401</v>
          </cell>
          <cell r="N154">
            <v>8</v>
          </cell>
        </row>
        <row r="155">
          <cell r="D155" t="str">
            <v>010903060401</v>
          </cell>
          <cell r="N155">
            <v>45.2</v>
          </cell>
        </row>
        <row r="156">
          <cell r="D156" t="str">
            <v>010903060401</v>
          </cell>
          <cell r="N156">
            <v>32.799999999999997</v>
          </cell>
        </row>
        <row r="157">
          <cell r="D157" t="str">
            <v>010903060401</v>
          </cell>
          <cell r="N157">
            <v>46.2</v>
          </cell>
        </row>
        <row r="158">
          <cell r="D158" t="str">
            <v>010903060401</v>
          </cell>
          <cell r="N158">
            <v>44.2</v>
          </cell>
        </row>
        <row r="159">
          <cell r="D159" t="str">
            <v>010903060401</v>
          </cell>
          <cell r="N159">
            <v>6</v>
          </cell>
        </row>
        <row r="160">
          <cell r="D160" t="str">
            <v>010903060401</v>
          </cell>
          <cell r="N160">
            <v>46.6</v>
          </cell>
        </row>
        <row r="161">
          <cell r="D161" t="str">
            <v>010903060401</v>
          </cell>
          <cell r="N161">
            <v>22.5</v>
          </cell>
        </row>
        <row r="162">
          <cell r="D162" t="str">
            <v>010903060401</v>
          </cell>
          <cell r="N162">
            <v>23.95</v>
          </cell>
        </row>
        <row r="163">
          <cell r="D163" t="str">
            <v>010903060401</v>
          </cell>
          <cell r="N163">
            <v>11.37</v>
          </cell>
        </row>
        <row r="164">
          <cell r="D164" t="str">
            <v>010903060401</v>
          </cell>
          <cell r="N164">
            <v>7.68</v>
          </cell>
        </row>
        <row r="165">
          <cell r="D165" t="str">
            <v>010903060401</v>
          </cell>
          <cell r="N165">
            <v>50</v>
          </cell>
        </row>
        <row r="166">
          <cell r="D166" t="str">
            <v>010903060401</v>
          </cell>
          <cell r="N166">
            <v>20</v>
          </cell>
        </row>
        <row r="167">
          <cell r="D167" t="str">
            <v>0</v>
          </cell>
          <cell r="N167">
            <v>521.5</v>
          </cell>
        </row>
        <row r="168">
          <cell r="D168" t="str">
            <v>010903060401</v>
          </cell>
          <cell r="N168">
            <v>47.4</v>
          </cell>
        </row>
        <row r="169">
          <cell r="D169" t="str">
            <v>010903060401</v>
          </cell>
          <cell r="N169">
            <v>20.399999999999999</v>
          </cell>
        </row>
        <row r="170">
          <cell r="D170" t="str">
            <v>010903060401</v>
          </cell>
          <cell r="N170">
            <v>32.6</v>
          </cell>
        </row>
        <row r="171">
          <cell r="D171" t="str">
            <v>010903060401</v>
          </cell>
          <cell r="N171">
            <v>47.4</v>
          </cell>
        </row>
        <row r="172">
          <cell r="D172" t="str">
            <v>010903060401</v>
          </cell>
          <cell r="N172">
            <v>47.6</v>
          </cell>
        </row>
        <row r="173">
          <cell r="D173" t="str">
            <v>010903060401</v>
          </cell>
          <cell r="N173">
            <v>14.5</v>
          </cell>
        </row>
        <row r="174">
          <cell r="D174" t="str">
            <v>010903060401</v>
          </cell>
          <cell r="N174">
            <v>43</v>
          </cell>
        </row>
        <row r="175">
          <cell r="D175" t="str">
            <v>010903060401</v>
          </cell>
          <cell r="N175">
            <v>7.25</v>
          </cell>
        </row>
        <row r="176">
          <cell r="D176" t="str">
            <v>0</v>
          </cell>
          <cell r="N176">
            <v>823.7</v>
          </cell>
        </row>
        <row r="177">
          <cell r="D177" t="str">
            <v>010903060301</v>
          </cell>
          <cell r="N177">
            <v>14.4</v>
          </cell>
        </row>
        <row r="178">
          <cell r="D178" t="str">
            <v>011004070501</v>
          </cell>
          <cell r="N178">
            <v>3.6</v>
          </cell>
        </row>
        <row r="179">
          <cell r="D179" t="str">
            <v>010803060101</v>
          </cell>
          <cell r="N179">
            <v>14.2</v>
          </cell>
        </row>
        <row r="180">
          <cell r="D180" t="str">
            <v>041802092901</v>
          </cell>
          <cell r="N180">
            <v>2.9</v>
          </cell>
        </row>
        <row r="181">
          <cell r="D181" t="str">
            <v>121802093801</v>
          </cell>
          <cell r="N181">
            <v>7.3</v>
          </cell>
        </row>
        <row r="182">
          <cell r="D182" t="str">
            <v>101002061801</v>
          </cell>
          <cell r="N182">
            <v>2.2000000000000002</v>
          </cell>
        </row>
        <row r="183">
          <cell r="D183" t="str">
            <v>081402070301</v>
          </cell>
          <cell r="N183">
            <v>9.5</v>
          </cell>
        </row>
        <row r="184">
          <cell r="D184" t="str">
            <v>051302070101</v>
          </cell>
          <cell r="N184">
            <v>4.2</v>
          </cell>
        </row>
        <row r="185">
          <cell r="D185" t="str">
            <v>010602060701</v>
          </cell>
          <cell r="N185">
            <v>5272.7</v>
          </cell>
        </row>
        <row r="186">
          <cell r="D186" t="str">
            <v>010903060401</v>
          </cell>
          <cell r="N186">
            <v>45.4</v>
          </cell>
        </row>
        <row r="187">
          <cell r="D187" t="str">
            <v>010903060401</v>
          </cell>
          <cell r="N187">
            <v>47.8</v>
          </cell>
        </row>
        <row r="188">
          <cell r="D188" t="str">
            <v>010903060401</v>
          </cell>
          <cell r="N188">
            <v>7.2</v>
          </cell>
        </row>
        <row r="189">
          <cell r="D189" t="str">
            <v>010903060401</v>
          </cell>
          <cell r="N189">
            <v>44.6</v>
          </cell>
        </row>
        <row r="190">
          <cell r="D190" t="str">
            <v>010903060401</v>
          </cell>
          <cell r="N190">
            <v>48.2</v>
          </cell>
        </row>
        <row r="191">
          <cell r="D191" t="str">
            <v>010903060401</v>
          </cell>
          <cell r="N191">
            <v>9.6</v>
          </cell>
        </row>
        <row r="192">
          <cell r="D192" t="str">
            <v>010903060401</v>
          </cell>
          <cell r="N192">
            <v>47</v>
          </cell>
        </row>
        <row r="193">
          <cell r="D193" t="str">
            <v>010903060401</v>
          </cell>
          <cell r="N193">
            <v>13.8</v>
          </cell>
        </row>
        <row r="194">
          <cell r="D194" t="str">
            <v>010903060401</v>
          </cell>
          <cell r="N194">
            <v>46.4</v>
          </cell>
        </row>
        <row r="195">
          <cell r="D195" t="str">
            <v>010903060401</v>
          </cell>
          <cell r="N195">
            <v>6.6</v>
          </cell>
        </row>
        <row r="196">
          <cell r="D196" t="str">
            <v>010903060301</v>
          </cell>
          <cell r="N196">
            <v>9</v>
          </cell>
        </row>
        <row r="197">
          <cell r="D197" t="str">
            <v>010903060601</v>
          </cell>
          <cell r="N197">
            <v>33</v>
          </cell>
        </row>
        <row r="198">
          <cell r="D198" t="str">
            <v>010903060601</v>
          </cell>
          <cell r="N198">
            <v>42.8</v>
          </cell>
        </row>
        <row r="199">
          <cell r="D199" t="str">
            <v>010903060601</v>
          </cell>
          <cell r="N199">
            <v>8.6</v>
          </cell>
        </row>
        <row r="200">
          <cell r="D200" t="str">
            <v>010904060601</v>
          </cell>
          <cell r="N200">
            <v>45.8</v>
          </cell>
        </row>
        <row r="201">
          <cell r="D201" t="str">
            <v>010904060601</v>
          </cell>
          <cell r="N201">
            <v>42</v>
          </cell>
        </row>
        <row r="202">
          <cell r="D202" t="str">
            <v>010904060601</v>
          </cell>
          <cell r="N202">
            <v>9.5</v>
          </cell>
        </row>
        <row r="203">
          <cell r="D203" t="str">
            <v>010904060601</v>
          </cell>
          <cell r="N203">
            <v>17.399999999999999</v>
          </cell>
        </row>
        <row r="204">
          <cell r="D204" t="str">
            <v>010904060601</v>
          </cell>
          <cell r="N204">
            <v>34</v>
          </cell>
        </row>
        <row r="205">
          <cell r="D205" t="str">
            <v>010904060601</v>
          </cell>
          <cell r="N205">
            <v>45</v>
          </cell>
        </row>
        <row r="206">
          <cell r="D206" t="str">
            <v>010904060601</v>
          </cell>
          <cell r="N206">
            <v>50.2</v>
          </cell>
        </row>
        <row r="207">
          <cell r="D207" t="str">
            <v>010904060601</v>
          </cell>
          <cell r="N207">
            <v>44.8</v>
          </cell>
        </row>
        <row r="208">
          <cell r="D208" t="str">
            <v>010904060401</v>
          </cell>
          <cell r="N208">
            <v>7</v>
          </cell>
        </row>
        <row r="209">
          <cell r="D209" t="str">
            <v>010903060601</v>
          </cell>
          <cell r="N209">
            <v>48.4</v>
          </cell>
        </row>
        <row r="210">
          <cell r="D210" t="str">
            <v>010903060601</v>
          </cell>
          <cell r="N210">
            <v>45.2</v>
          </cell>
        </row>
        <row r="211">
          <cell r="D211" t="str">
            <v>010903060601</v>
          </cell>
          <cell r="N211">
            <v>43.2</v>
          </cell>
        </row>
        <row r="212">
          <cell r="D212" t="str">
            <v>010903060601</v>
          </cell>
          <cell r="N212">
            <v>43.2</v>
          </cell>
        </row>
        <row r="213">
          <cell r="D213" t="str">
            <v>010903060601</v>
          </cell>
          <cell r="N213">
            <v>15.7</v>
          </cell>
        </row>
        <row r="214">
          <cell r="D214" t="str">
            <v>010903060601</v>
          </cell>
          <cell r="N214">
            <v>42.6</v>
          </cell>
        </row>
        <row r="215">
          <cell r="D215" t="str">
            <v>010903060601</v>
          </cell>
          <cell r="N215">
            <v>43</v>
          </cell>
        </row>
        <row r="216">
          <cell r="D216" t="str">
            <v>010903060601</v>
          </cell>
          <cell r="N216">
            <v>17.75</v>
          </cell>
        </row>
        <row r="217">
          <cell r="D217" t="str">
            <v>010903060601</v>
          </cell>
          <cell r="N217">
            <v>41</v>
          </cell>
        </row>
        <row r="218">
          <cell r="D218" t="str">
            <v>010903060601</v>
          </cell>
          <cell r="N218">
            <v>43.2</v>
          </cell>
        </row>
        <row r="219">
          <cell r="D219" t="str">
            <v>010903060601</v>
          </cell>
          <cell r="N219">
            <v>42.4</v>
          </cell>
        </row>
        <row r="220">
          <cell r="D220" t="str">
            <v>010903060601</v>
          </cell>
          <cell r="N220">
            <v>37.4</v>
          </cell>
        </row>
        <row r="221">
          <cell r="D221" t="str">
            <v>010903060601</v>
          </cell>
          <cell r="N221">
            <v>9.75</v>
          </cell>
        </row>
        <row r="222">
          <cell r="D222" t="str">
            <v>010903060601</v>
          </cell>
          <cell r="N222">
            <v>44.2</v>
          </cell>
        </row>
        <row r="223">
          <cell r="D223" t="str">
            <v>0</v>
          </cell>
          <cell r="N223">
            <v>0</v>
          </cell>
        </row>
        <row r="224">
          <cell r="D224" t="str">
            <v>0</v>
          </cell>
          <cell r="N224">
            <v>0</v>
          </cell>
        </row>
        <row r="225">
          <cell r="D225" t="str">
            <v>0</v>
          </cell>
          <cell r="N225">
            <v>0</v>
          </cell>
        </row>
        <row r="226">
          <cell r="D226" t="str">
            <v>0</v>
          </cell>
          <cell r="N226">
            <v>0</v>
          </cell>
        </row>
        <row r="227">
          <cell r="D227" t="str">
            <v>0</v>
          </cell>
          <cell r="N227">
            <v>0</v>
          </cell>
        </row>
        <row r="228">
          <cell r="D228" t="str">
            <v>0</v>
          </cell>
          <cell r="N228">
            <v>0</v>
          </cell>
        </row>
        <row r="229">
          <cell r="D229" t="str">
            <v>0</v>
          </cell>
          <cell r="N229">
            <v>0</v>
          </cell>
        </row>
        <row r="230">
          <cell r="D230" t="str">
            <v>010903060601</v>
          </cell>
          <cell r="N230">
            <v>46.6</v>
          </cell>
        </row>
        <row r="231">
          <cell r="D231" t="str">
            <v>010903060601</v>
          </cell>
          <cell r="N231">
            <v>8.4</v>
          </cell>
        </row>
        <row r="232">
          <cell r="D232" t="str">
            <v>010903060601</v>
          </cell>
          <cell r="N232">
            <v>45</v>
          </cell>
        </row>
        <row r="233">
          <cell r="D233" t="str">
            <v>010903060601</v>
          </cell>
          <cell r="N233">
            <v>47.2</v>
          </cell>
        </row>
        <row r="234">
          <cell r="D234" t="str">
            <v>010903060601</v>
          </cell>
          <cell r="N234">
            <v>44.6</v>
          </cell>
        </row>
        <row r="235">
          <cell r="D235" t="str">
            <v>010903060601</v>
          </cell>
          <cell r="N235">
            <v>8.2899999999999991</v>
          </cell>
        </row>
        <row r="236">
          <cell r="D236" t="str">
            <v>010903060601</v>
          </cell>
          <cell r="N236">
            <v>46.4</v>
          </cell>
        </row>
        <row r="237">
          <cell r="D237" t="str">
            <v>010903060601</v>
          </cell>
          <cell r="N237">
            <v>48.2</v>
          </cell>
        </row>
        <row r="238">
          <cell r="D238" t="str">
            <v>010903060601</v>
          </cell>
          <cell r="N238">
            <v>46.2</v>
          </cell>
        </row>
        <row r="239">
          <cell r="D239" t="str">
            <v>010903060601</v>
          </cell>
          <cell r="N239">
            <v>44.2</v>
          </cell>
        </row>
        <row r="240">
          <cell r="D240" t="str">
            <v>010903060601</v>
          </cell>
          <cell r="N240">
            <v>26.6</v>
          </cell>
        </row>
        <row r="241">
          <cell r="D241" t="str">
            <v>081702070101</v>
          </cell>
          <cell r="N241">
            <v>32.4</v>
          </cell>
        </row>
        <row r="242">
          <cell r="D242" t="str">
            <v>081702070101</v>
          </cell>
          <cell r="N242">
            <v>30.6</v>
          </cell>
        </row>
        <row r="243">
          <cell r="D243" t="str">
            <v>081702070101</v>
          </cell>
          <cell r="N243">
            <v>37.6</v>
          </cell>
        </row>
        <row r="244">
          <cell r="D244" t="str">
            <v>081702070101</v>
          </cell>
          <cell r="N244">
            <v>13.6</v>
          </cell>
        </row>
        <row r="245">
          <cell r="D245" t="str">
            <v>081702070101</v>
          </cell>
          <cell r="N245">
            <v>32.6</v>
          </cell>
        </row>
        <row r="246">
          <cell r="D246" t="str">
            <v>081702070101</v>
          </cell>
          <cell r="N246">
            <v>37.200000000000003</v>
          </cell>
        </row>
        <row r="247">
          <cell r="D247" t="str">
            <v>081702070101</v>
          </cell>
          <cell r="N247">
            <v>38.4</v>
          </cell>
        </row>
        <row r="248">
          <cell r="D248" t="str">
            <v>081702070101</v>
          </cell>
          <cell r="N248">
            <v>34.799999999999997</v>
          </cell>
        </row>
        <row r="249">
          <cell r="D249" t="str">
            <v>081702070101</v>
          </cell>
          <cell r="N249">
            <v>37.6</v>
          </cell>
        </row>
        <row r="250">
          <cell r="D250" t="str">
            <v>081702070101</v>
          </cell>
          <cell r="N250">
            <v>32.799999999999997</v>
          </cell>
        </row>
        <row r="251">
          <cell r="D251" t="str">
            <v>081702070101</v>
          </cell>
          <cell r="N251">
            <v>39.799999999999997</v>
          </cell>
        </row>
        <row r="252">
          <cell r="D252" t="str">
            <v>081702070101</v>
          </cell>
          <cell r="N252">
            <v>37</v>
          </cell>
        </row>
        <row r="253">
          <cell r="D253" t="str">
            <v>081702070101</v>
          </cell>
          <cell r="N253">
            <v>32.6</v>
          </cell>
        </row>
        <row r="254">
          <cell r="D254" t="str">
            <v>081702070101</v>
          </cell>
          <cell r="N254">
            <v>35.4</v>
          </cell>
        </row>
        <row r="255">
          <cell r="D255" t="str">
            <v>081702070101</v>
          </cell>
          <cell r="N255">
            <v>36.4</v>
          </cell>
        </row>
        <row r="256">
          <cell r="D256" t="str">
            <v>081702070101</v>
          </cell>
          <cell r="N256">
            <v>34</v>
          </cell>
        </row>
        <row r="257">
          <cell r="D257" t="str">
            <v>081702070101</v>
          </cell>
          <cell r="N257">
            <v>42.4</v>
          </cell>
        </row>
        <row r="258">
          <cell r="D258" t="str">
            <v>081702070101</v>
          </cell>
          <cell r="N258">
            <v>46</v>
          </cell>
        </row>
        <row r="259">
          <cell r="D259" t="str">
            <v>081702070101</v>
          </cell>
          <cell r="N259">
            <v>34</v>
          </cell>
        </row>
        <row r="260">
          <cell r="D260" t="str">
            <v>081702070101</v>
          </cell>
          <cell r="N260">
            <v>48.4</v>
          </cell>
        </row>
        <row r="261">
          <cell r="D261" t="str">
            <v>081702070101</v>
          </cell>
          <cell r="N261">
            <v>41.5</v>
          </cell>
        </row>
        <row r="262">
          <cell r="D262" t="str">
            <v>081702070101</v>
          </cell>
          <cell r="N262">
            <v>36.5</v>
          </cell>
        </row>
        <row r="263">
          <cell r="D263" t="str">
            <v>081702070101</v>
          </cell>
          <cell r="N263">
            <v>41.1</v>
          </cell>
        </row>
        <row r="264">
          <cell r="D264" t="str">
            <v>081702070101</v>
          </cell>
          <cell r="N264">
            <v>39.6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D2F803-C5FE-46EA-BB18-07D8129329E7}" name="Tabla2" displayName="Tabla2" ref="A5:M149" totalsRowShown="0" dataDxfId="14">
  <autoFilter ref="A5:M149" xr:uid="{3AD2F803-C5FE-46EA-BB18-07D8129329E7}"/>
  <tableColumns count="13">
    <tableColumn id="1" xr3:uid="{5D11C567-934F-4518-BB2D-A357EDC500BD}" name="ITEM" dataDxfId="13"/>
    <tableColumn id="2" xr3:uid="{6DAA3A61-EF55-425F-B50A-D4338B99C8F8}" name="CODIGO " dataDxfId="12"/>
    <tableColumn id="3" xr3:uid="{B93A1845-E6FF-4004-A053-48188C2338D6}" name="ESPECIE" dataDxfId="11"/>
    <tableColumn id="4" xr3:uid="{C54A9A0B-5D4B-46F1-9F4D-8083376D4529}" name="PRODUCTO" dataDxfId="10"/>
    <tableColumn id="5" xr3:uid="{0A782D3A-69E6-415A-939D-2EEBE917FED5}" name="CALIDAD" dataDxfId="9"/>
    <tableColumn id="6" xr3:uid="{862547CD-8484-4CAD-8A04-95ACEFE2A216}" name="ESTADO" dataDxfId="8"/>
    <tableColumn id="7" xr3:uid="{0DF35E69-A5AB-494F-84E1-A516D1F40EC1}" name="TALLA" dataDxfId="7"/>
    <tableColumn id="8" xr3:uid="{BFEB3552-7502-4BFB-B0B2-BBEF66A0342E}" name="EMPAQUE" dataDxfId="6"/>
    <tableColumn id="9" xr3:uid="{EE52A859-513A-4EDF-B703-340D19647649}" name="INGRESOS" dataDxfId="5">
      <calculatedColumnFormula>IFERROR(SUMIFS([1]INGRESOS!$N$2:$N$10022,[1]INGRESOS!$D$2:$D$10022,$B6),0)</calculatedColumnFormula>
    </tableColumn>
    <tableColumn id="10" xr3:uid="{1F8072BD-62CF-435E-BDE8-01DA80F440D8}" name="SALIDAS" dataDxfId="4">
      <calculatedColumnFormula>IFERROR(SUMIFS([2]SALIDAS!$N$2:$N$10069,[2]SALIDAS!$D$2:$D$10069,$B6),0)</calculatedColumnFormula>
    </tableColumn>
    <tableColumn id="11" xr3:uid="{21E4352E-B767-4A44-8068-109DADCE1DC7}" name="STOCK" dataDxfId="3">
      <calculatedColumnFormula>Tabla2[[#This Row],[INGRESOS]]-Tabla2[[#This Row],[SALIDAS]]</calculatedColumnFormula>
    </tableColumn>
    <tableColumn id="12" xr3:uid="{A22F8B6B-4871-4667-BDDA-5D5E11ED6B75}" name="LB" dataDxfId="2"/>
    <tableColumn id="13" xr3:uid="{6B88BD19-9777-4EB4-9FD8-1BB1937C4D4B}" name="Observacion organoleptica Actu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showGridLines="0" tabSelected="1" zoomScale="106" zoomScaleNormal="106" workbookViewId="0">
      <selection activeCell="C156" sqref="C156"/>
    </sheetView>
  </sheetViews>
  <sheetFormatPr baseColWidth="10" defaultColWidth="9.109375" defaultRowHeight="15.6" x14ac:dyDescent="0.3"/>
  <cols>
    <col min="1" max="1" width="7.6640625" style="7" customWidth="1"/>
    <col min="2" max="2" width="24.33203125" style="15" customWidth="1"/>
    <col min="3" max="3" width="21.88671875" style="7" customWidth="1"/>
    <col min="4" max="4" width="42.44140625" style="7" customWidth="1"/>
    <col min="5" max="5" width="17.5546875" style="7" customWidth="1"/>
    <col min="6" max="6" width="17.6640625" style="7" customWidth="1"/>
    <col min="7" max="7" width="20.44140625" style="15" customWidth="1"/>
    <col min="8" max="8" width="24.109375" style="7" customWidth="1"/>
    <col min="9" max="9" width="14.6640625" style="7" customWidth="1"/>
    <col min="10" max="10" width="12.88671875" style="7" customWidth="1"/>
    <col min="11" max="11" width="15.33203125" style="7" customWidth="1"/>
    <col min="12" max="12" width="4" style="7" customWidth="1"/>
    <col min="13" max="13" width="85.88671875" style="7" customWidth="1"/>
    <col min="14" max="16384" width="9.109375" style="7"/>
  </cols>
  <sheetData>
    <row r="1" spans="1:13" x14ac:dyDescent="0.3">
      <c r="A1" s="21"/>
      <c r="B1" s="13"/>
      <c r="C1" s="5"/>
      <c r="D1" s="5"/>
      <c r="E1" s="5"/>
      <c r="F1" s="5"/>
      <c r="G1" s="13"/>
      <c r="H1" s="16"/>
      <c r="I1" s="5"/>
      <c r="J1" s="5"/>
      <c r="K1" s="6" t="e" vm="1">
        <f ca="1">(_xleta.TODAY)</f>
        <v>#VALUE!</v>
      </c>
      <c r="L1" s="2"/>
    </row>
    <row r="2" spans="1:13" x14ac:dyDescent="0.3">
      <c r="A2" s="22"/>
      <c r="B2" s="13"/>
      <c r="C2" s="5"/>
      <c r="D2" s="5"/>
      <c r="E2" s="5"/>
      <c r="F2" s="5"/>
      <c r="G2" s="13"/>
      <c r="H2" s="16"/>
      <c r="I2" s="5"/>
      <c r="J2" s="5"/>
      <c r="K2" s="8">
        <v>0.64171296296296299</v>
      </c>
      <c r="L2" s="2"/>
    </row>
    <row r="3" spans="1:13" x14ac:dyDescent="0.3">
      <c r="A3" s="30" t="s">
        <v>0</v>
      </c>
      <c r="B3" s="31"/>
      <c r="C3" s="32"/>
      <c r="D3" s="30"/>
      <c r="E3" s="30"/>
      <c r="F3" s="30"/>
      <c r="G3" s="30"/>
      <c r="H3" s="30"/>
      <c r="I3" s="30"/>
      <c r="J3" s="30"/>
      <c r="K3" s="30"/>
      <c r="L3" s="30"/>
    </row>
    <row r="4" spans="1:13" x14ac:dyDescent="0.3">
      <c r="A4" s="22"/>
      <c r="B4" s="13"/>
      <c r="C4" s="5"/>
      <c r="D4" s="5"/>
      <c r="E4" s="5"/>
      <c r="F4" s="5"/>
      <c r="G4" s="13" t="s">
        <v>1</v>
      </c>
      <c r="H4" s="43" t="s">
        <v>2</v>
      </c>
      <c r="I4" s="43"/>
      <c r="J4" s="43"/>
      <c r="K4" s="43"/>
      <c r="L4" s="2"/>
    </row>
    <row r="5" spans="1:13" x14ac:dyDescent="0.3">
      <c r="A5" s="23" t="s">
        <v>3</v>
      </c>
      <c r="B5" s="14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14" t="s">
        <v>9</v>
      </c>
      <c r="H5" s="17" t="s">
        <v>10</v>
      </c>
      <c r="I5" s="9" t="s">
        <v>11</v>
      </c>
      <c r="J5" s="9" t="s">
        <v>12</v>
      </c>
      <c r="K5" s="9" t="s">
        <v>13</v>
      </c>
      <c r="L5" s="1" t="s">
        <v>14</v>
      </c>
      <c r="M5" s="36" t="s">
        <v>291</v>
      </c>
    </row>
    <row r="6" spans="1:13" x14ac:dyDescent="0.3">
      <c r="A6" s="22">
        <v>1</v>
      </c>
      <c r="B6" s="24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24" t="s">
        <v>20</v>
      </c>
      <c r="H6" s="18" t="s">
        <v>21</v>
      </c>
      <c r="I6" s="29">
        <f>IFERROR(SUMIFS([1]INGRESOS!$N$2:$N$10022,[1]INGRESOS!$D$2:$D$10022,$B6),0)</f>
        <v>0</v>
      </c>
      <c r="J6" s="12">
        <f>IFERROR(SUMIFS([2]SALIDAS!$N$2:$N$10069,[2]SALIDAS!$D$2:$D$10069,$B6),0)</f>
        <v>0</v>
      </c>
      <c r="K6" s="25">
        <f>Tabla2[[#This Row],[INGRESOS]]-Tabla2[[#This Row],[SALIDAS]]</f>
        <v>0</v>
      </c>
      <c r="L6" s="4" t="s">
        <v>14</v>
      </c>
      <c r="M6" s="36" t="s">
        <v>291</v>
      </c>
    </row>
    <row r="7" spans="1:13" x14ac:dyDescent="0.3">
      <c r="A7" s="22">
        <v>2</v>
      </c>
      <c r="B7" s="24" t="s">
        <v>22</v>
      </c>
      <c r="C7" s="10" t="s">
        <v>16</v>
      </c>
      <c r="D7" s="10" t="s">
        <v>17</v>
      </c>
      <c r="E7" s="10" t="s">
        <v>18</v>
      </c>
      <c r="F7" s="10" t="s">
        <v>19</v>
      </c>
      <c r="G7" s="24" t="s">
        <v>23</v>
      </c>
      <c r="H7" s="18" t="s">
        <v>21</v>
      </c>
      <c r="I7" s="29">
        <f>IFERROR(SUMIFS([1]INGRESOS!$N$2:$N$10022,[1]INGRESOS!$D$2:$D$10022,$B7),0)</f>
        <v>0</v>
      </c>
      <c r="J7" s="12">
        <f>IFERROR(SUMIFS([2]SALIDAS!$N$2:$N$10069,[2]SALIDAS!$D$2:$D$10069,$B7),0)</f>
        <v>0</v>
      </c>
      <c r="K7" s="25">
        <f>Tabla2[[#This Row],[INGRESOS]]-Tabla2[[#This Row],[SALIDAS]]</f>
        <v>0</v>
      </c>
      <c r="L7" s="4" t="s">
        <v>14</v>
      </c>
      <c r="M7" s="37" t="s">
        <v>292</v>
      </c>
    </row>
    <row r="8" spans="1:13" x14ac:dyDescent="0.3">
      <c r="A8" s="22">
        <v>3</v>
      </c>
      <c r="B8" s="24" t="s">
        <v>24</v>
      </c>
      <c r="C8" s="10" t="s">
        <v>16</v>
      </c>
      <c r="D8" s="10" t="s">
        <v>17</v>
      </c>
      <c r="E8" s="10" t="s">
        <v>18</v>
      </c>
      <c r="F8" s="10" t="s">
        <v>19</v>
      </c>
      <c r="G8" s="24" t="s">
        <v>25</v>
      </c>
      <c r="H8" s="18" t="s">
        <v>21</v>
      </c>
      <c r="I8" s="29">
        <f>IFERROR(SUMIFS([1]INGRESOS!$N$2:$N$10022,[1]INGRESOS!$D$2:$D$10022,$B8),0)</f>
        <v>0</v>
      </c>
      <c r="J8" s="12">
        <f>IFERROR(SUMIFS([2]SALIDAS!$N$2:$N$10069,[2]SALIDAS!$D$2:$D$10069,$B8),0)</f>
        <v>0</v>
      </c>
      <c r="K8" s="25">
        <f>Tabla2[[#This Row],[INGRESOS]]-Tabla2[[#This Row],[SALIDAS]]</f>
        <v>0</v>
      </c>
      <c r="L8" s="4" t="s">
        <v>14</v>
      </c>
      <c r="M8" s="37" t="s">
        <v>292</v>
      </c>
    </row>
    <row r="9" spans="1:13" x14ac:dyDescent="0.3">
      <c r="A9" s="22">
        <v>4</v>
      </c>
      <c r="B9" s="24" t="s">
        <v>26</v>
      </c>
      <c r="C9" s="10" t="s">
        <v>16</v>
      </c>
      <c r="D9" s="10" t="s">
        <v>17</v>
      </c>
      <c r="E9" s="10" t="s">
        <v>18</v>
      </c>
      <c r="F9" s="10" t="s">
        <v>19</v>
      </c>
      <c r="G9" s="24" t="s">
        <v>27</v>
      </c>
      <c r="H9" s="18" t="s">
        <v>21</v>
      </c>
      <c r="I9" s="29">
        <f>IFERROR(SUMIFS([1]INGRESOS!$N$2:$N$10022,[1]INGRESOS!$D$2:$D$10022,$B9),0)</f>
        <v>0</v>
      </c>
      <c r="J9" s="12">
        <f>IFERROR(SUMIFS([2]SALIDAS!$N$2:$N$10069,[2]SALIDAS!$D$2:$D$10069,$B9),0)</f>
        <v>0</v>
      </c>
      <c r="K9" s="25">
        <f>Tabla2[[#This Row],[INGRESOS]]-Tabla2[[#This Row],[SALIDAS]]</f>
        <v>0</v>
      </c>
      <c r="L9" s="4" t="s">
        <v>14</v>
      </c>
      <c r="M9" s="37" t="s">
        <v>292</v>
      </c>
    </row>
    <row r="10" spans="1:13" x14ac:dyDescent="0.3">
      <c r="A10" s="22">
        <v>5</v>
      </c>
      <c r="B10" s="24" t="s">
        <v>28</v>
      </c>
      <c r="C10" s="10" t="s">
        <v>16</v>
      </c>
      <c r="D10" s="10" t="s">
        <v>17</v>
      </c>
      <c r="E10" s="10" t="s">
        <v>18</v>
      </c>
      <c r="F10" s="10" t="s">
        <v>19</v>
      </c>
      <c r="G10" s="24" t="s">
        <v>29</v>
      </c>
      <c r="H10" s="18" t="s">
        <v>21</v>
      </c>
      <c r="I10" s="29">
        <f>IFERROR(SUMIFS([1]INGRESOS!$N$2:$N$10022,[1]INGRESOS!$D$2:$D$10022,$B10),0)</f>
        <v>0</v>
      </c>
      <c r="J10" s="12">
        <f>IFERROR(SUMIFS([2]SALIDAS!$N$2:$N$10069,[2]SALIDAS!$D$2:$D$10069,$B10),0)</f>
        <v>0</v>
      </c>
      <c r="K10" s="25">
        <f>Tabla2[[#This Row],[INGRESOS]]-Tabla2[[#This Row],[SALIDAS]]</f>
        <v>0</v>
      </c>
      <c r="L10" s="3" t="s">
        <v>14</v>
      </c>
      <c r="M10" s="37" t="s">
        <v>292</v>
      </c>
    </row>
    <row r="11" spans="1:13" x14ac:dyDescent="0.3">
      <c r="A11" s="22">
        <v>6</v>
      </c>
      <c r="B11" s="24" t="s">
        <v>30</v>
      </c>
      <c r="C11" s="10" t="s">
        <v>16</v>
      </c>
      <c r="D11" s="10" t="s">
        <v>31</v>
      </c>
      <c r="E11" s="10" t="s">
        <v>18</v>
      </c>
      <c r="F11" s="10" t="s">
        <v>19</v>
      </c>
      <c r="G11" s="24" t="s">
        <v>20</v>
      </c>
      <c r="H11" s="18" t="s">
        <v>21</v>
      </c>
      <c r="I11" s="29">
        <f>IFERROR(SUMIFS([1]INGRESOS!$N$2:$N$10022,[1]INGRESOS!$D$2:$D$10022,$B11),0)</f>
        <v>0</v>
      </c>
      <c r="J11" s="12">
        <f>IFERROR(SUMIFS([2]SALIDAS!$N$2:$N$10069,[2]SALIDAS!$D$2:$D$10069,$B11),0)</f>
        <v>0</v>
      </c>
      <c r="K11" s="25">
        <f>Tabla2[[#This Row],[INGRESOS]]-Tabla2[[#This Row],[SALIDAS]]</f>
        <v>0</v>
      </c>
      <c r="L11" s="3" t="s">
        <v>14</v>
      </c>
      <c r="M11" s="38" t="s">
        <v>1</v>
      </c>
    </row>
    <row r="12" spans="1:13" x14ac:dyDescent="0.3">
      <c r="A12" s="22">
        <v>7</v>
      </c>
      <c r="B12" s="24" t="s">
        <v>32</v>
      </c>
      <c r="C12" s="10" t="s">
        <v>16</v>
      </c>
      <c r="D12" s="10" t="s">
        <v>31</v>
      </c>
      <c r="E12" s="10" t="s">
        <v>18</v>
      </c>
      <c r="F12" s="10" t="s">
        <v>19</v>
      </c>
      <c r="G12" s="24" t="s">
        <v>23</v>
      </c>
      <c r="H12" s="18" t="s">
        <v>21</v>
      </c>
      <c r="I12" s="29">
        <f>IFERROR(SUMIFS([1]INGRESOS!$N$2:$N$10022,[1]INGRESOS!$D$2:$D$10022,$B12),0)</f>
        <v>0</v>
      </c>
      <c r="J12" s="12">
        <f>IFERROR(SUMIFS([2]SALIDAS!$N$2:$N$10069,[2]SALIDAS!$D$2:$D$10069,$B12),0)</f>
        <v>0</v>
      </c>
      <c r="K12" s="25">
        <f>Tabla2[[#This Row],[INGRESOS]]-Tabla2[[#This Row],[SALIDAS]]</f>
        <v>0</v>
      </c>
      <c r="L12" s="3" t="s">
        <v>14</v>
      </c>
      <c r="M12" s="38" t="s">
        <v>1</v>
      </c>
    </row>
    <row r="13" spans="1:13" x14ac:dyDescent="0.3">
      <c r="A13" s="22">
        <v>8</v>
      </c>
      <c r="B13" s="24" t="s">
        <v>33</v>
      </c>
      <c r="C13" s="10" t="s">
        <v>16</v>
      </c>
      <c r="D13" s="10" t="s">
        <v>31</v>
      </c>
      <c r="E13" s="10" t="s">
        <v>18</v>
      </c>
      <c r="F13" s="10" t="s">
        <v>19</v>
      </c>
      <c r="G13" s="24" t="s">
        <v>25</v>
      </c>
      <c r="H13" s="18" t="s">
        <v>21</v>
      </c>
      <c r="I13" s="29">
        <f>IFERROR(SUMIFS([1]INGRESOS!$N$2:$N$10022,[1]INGRESOS!$D$2:$D$10022,$B13),0)</f>
        <v>0</v>
      </c>
      <c r="J13" s="12">
        <f>IFERROR(SUMIFS([2]SALIDAS!$N$2:$N$10069,[2]SALIDAS!$D$2:$D$10069,$B13),0)</f>
        <v>0</v>
      </c>
      <c r="K13" s="25">
        <f>Tabla2[[#This Row],[INGRESOS]]-Tabla2[[#This Row],[SALIDAS]]</f>
        <v>0</v>
      </c>
      <c r="L13" s="3" t="s">
        <v>14</v>
      </c>
      <c r="M13" s="38" t="s">
        <v>1</v>
      </c>
    </row>
    <row r="14" spans="1:13" x14ac:dyDescent="0.3">
      <c r="A14" s="22">
        <v>9</v>
      </c>
      <c r="B14" s="24" t="s">
        <v>34</v>
      </c>
      <c r="C14" s="10" t="s">
        <v>16</v>
      </c>
      <c r="D14" s="10" t="s">
        <v>31</v>
      </c>
      <c r="E14" s="10" t="s">
        <v>18</v>
      </c>
      <c r="F14" s="10" t="s">
        <v>19</v>
      </c>
      <c r="G14" s="24" t="s">
        <v>27</v>
      </c>
      <c r="H14" s="18" t="s">
        <v>21</v>
      </c>
      <c r="I14" s="29">
        <f>IFERROR(SUMIFS([1]INGRESOS!$N$2:$N$10022,[1]INGRESOS!$D$2:$D$10022,$B14),0)</f>
        <v>0</v>
      </c>
      <c r="J14" s="12">
        <f>IFERROR(SUMIFS([2]SALIDAS!$N$2:$N$10069,[2]SALIDAS!$D$2:$D$10069,$B14),0)</f>
        <v>0</v>
      </c>
      <c r="K14" s="25">
        <f>Tabla2[[#This Row],[INGRESOS]]-Tabla2[[#This Row],[SALIDAS]]</f>
        <v>0</v>
      </c>
      <c r="L14" s="4" t="s">
        <v>14</v>
      </c>
      <c r="M14" s="38" t="s">
        <v>1</v>
      </c>
    </row>
    <row r="15" spans="1:13" x14ac:dyDescent="0.3">
      <c r="A15" s="22">
        <v>10</v>
      </c>
      <c r="B15" s="24" t="s">
        <v>35</v>
      </c>
      <c r="C15" s="10" t="s">
        <v>16</v>
      </c>
      <c r="D15" s="10" t="s">
        <v>31</v>
      </c>
      <c r="E15" s="10" t="s">
        <v>18</v>
      </c>
      <c r="F15" s="10" t="s">
        <v>19</v>
      </c>
      <c r="G15" s="24" t="s">
        <v>29</v>
      </c>
      <c r="H15" s="18" t="s">
        <v>21</v>
      </c>
      <c r="I15" s="29">
        <f>IFERROR(SUMIFS([1]INGRESOS!$N$2:$N$10022,[1]INGRESOS!$D$2:$D$10022,$B15),0)</f>
        <v>0</v>
      </c>
      <c r="J15" s="12">
        <f>IFERROR(SUMIFS([2]SALIDAS!$N$2:$N$10069,[2]SALIDAS!$D$2:$D$10069,$B15),0)</f>
        <v>0</v>
      </c>
      <c r="K15" s="25">
        <f>Tabla2[[#This Row],[INGRESOS]]-Tabla2[[#This Row],[SALIDAS]]</f>
        <v>0</v>
      </c>
      <c r="L15" s="4" t="s">
        <v>14</v>
      </c>
      <c r="M15" s="38" t="s">
        <v>1</v>
      </c>
    </row>
    <row r="16" spans="1:13" x14ac:dyDescent="0.3">
      <c r="A16" s="22">
        <v>11</v>
      </c>
      <c r="B16" s="24" t="s">
        <v>36</v>
      </c>
      <c r="C16" s="10" t="s">
        <v>16</v>
      </c>
      <c r="D16" s="10" t="s">
        <v>37</v>
      </c>
      <c r="E16" s="10" t="s">
        <v>38</v>
      </c>
      <c r="F16" s="10" t="s">
        <v>39</v>
      </c>
      <c r="G16" s="24" t="s">
        <v>40</v>
      </c>
      <c r="H16" s="18" t="s">
        <v>41</v>
      </c>
      <c r="I16" s="29">
        <f>IFERROR(SUMIFS([1]INGRESOS!$N$2:$N$10022,[1]INGRESOS!$D$2:$D$10022,$B16),0)</f>
        <v>0</v>
      </c>
      <c r="J16" s="12">
        <f>IFERROR(SUMIFS([2]SALIDAS!$N$2:$N$10069,[2]SALIDAS!$D$2:$D$10069,$B16),0)</f>
        <v>0</v>
      </c>
      <c r="K16" s="25">
        <f>Tabla2[[#This Row],[INGRESOS]]-Tabla2[[#This Row],[SALIDAS]]</f>
        <v>0</v>
      </c>
      <c r="L16" s="3" t="s">
        <v>14</v>
      </c>
      <c r="M16" s="38" t="s">
        <v>1</v>
      </c>
    </row>
    <row r="17" spans="1:13" x14ac:dyDescent="0.3">
      <c r="A17" s="22">
        <v>12</v>
      </c>
      <c r="B17" s="24" t="s">
        <v>42</v>
      </c>
      <c r="C17" s="10" t="s">
        <v>16</v>
      </c>
      <c r="D17" s="10" t="s">
        <v>37</v>
      </c>
      <c r="E17" s="10" t="s">
        <v>38</v>
      </c>
      <c r="F17" s="10" t="s">
        <v>39</v>
      </c>
      <c r="G17" s="24" t="s">
        <v>43</v>
      </c>
      <c r="H17" s="18" t="s">
        <v>41</v>
      </c>
      <c r="I17" s="29">
        <f>IFERROR(SUMIFS([1]INGRESOS!$N$2:$N$10022,[1]INGRESOS!$D$2:$D$10022,$B17),0)</f>
        <v>0</v>
      </c>
      <c r="J17" s="12">
        <f>IFERROR(SUMIFS([2]SALIDAS!$N$2:$N$10069,[2]SALIDAS!$D$2:$D$10069,$B17),0)</f>
        <v>0</v>
      </c>
      <c r="K17" s="25">
        <f>Tabla2[[#This Row],[INGRESOS]]-Tabla2[[#This Row],[SALIDAS]]</f>
        <v>0</v>
      </c>
      <c r="L17" s="3" t="s">
        <v>14</v>
      </c>
      <c r="M17" s="38" t="s">
        <v>1</v>
      </c>
    </row>
    <row r="18" spans="1:13" x14ac:dyDescent="0.3">
      <c r="A18" s="22">
        <v>13</v>
      </c>
      <c r="B18" s="24" t="s">
        <v>44</v>
      </c>
      <c r="C18" s="10" t="s">
        <v>16</v>
      </c>
      <c r="D18" s="10" t="s">
        <v>37</v>
      </c>
      <c r="E18" s="10" t="s">
        <v>38</v>
      </c>
      <c r="F18" s="10" t="s">
        <v>39</v>
      </c>
      <c r="G18" s="24" t="s">
        <v>45</v>
      </c>
      <c r="H18" s="18" t="s">
        <v>41</v>
      </c>
      <c r="I18" s="29">
        <f>IFERROR(SUMIFS([1]INGRESOS!$N$2:$N$10022,[1]INGRESOS!$D$2:$D$10022,$B18),0)</f>
        <v>0</v>
      </c>
      <c r="J18" s="12">
        <f>IFERROR(SUMIFS([2]SALIDAS!$N$2:$N$10069,[2]SALIDAS!$D$2:$D$10069,$B18),0)</f>
        <v>0</v>
      </c>
      <c r="K18" s="25">
        <f>Tabla2[[#This Row],[INGRESOS]]-Tabla2[[#This Row],[SALIDAS]]</f>
        <v>0</v>
      </c>
      <c r="L18" s="3" t="s">
        <v>14</v>
      </c>
      <c r="M18" s="37" t="s">
        <v>292</v>
      </c>
    </row>
    <row r="19" spans="1:13" x14ac:dyDescent="0.3">
      <c r="A19" s="22">
        <v>15</v>
      </c>
      <c r="B19" s="24" t="s">
        <v>46</v>
      </c>
      <c r="C19" s="10" t="s">
        <v>16</v>
      </c>
      <c r="D19" s="10" t="s">
        <v>37</v>
      </c>
      <c r="E19" s="10" t="s">
        <v>38</v>
      </c>
      <c r="F19" s="10" t="s">
        <v>39</v>
      </c>
      <c r="G19" s="24" t="s">
        <v>47</v>
      </c>
      <c r="H19" s="18" t="s">
        <v>41</v>
      </c>
      <c r="I19" s="29">
        <f>IFERROR(SUMIFS([1]INGRESOS!$N$2:$N$10022,[1]INGRESOS!$D$2:$D$10022,$B19),0)</f>
        <v>0</v>
      </c>
      <c r="J19" s="12">
        <f>IFERROR(SUMIFS([2]SALIDAS!$N$2:$N$10069,[2]SALIDAS!$D$2:$D$10069,$B19),0)</f>
        <v>0</v>
      </c>
      <c r="K19" s="25">
        <f>Tabla2[[#This Row],[INGRESOS]]-Tabla2[[#This Row],[SALIDAS]]</f>
        <v>0</v>
      </c>
      <c r="L19" s="4" t="s">
        <v>14</v>
      </c>
      <c r="M19" s="37" t="s">
        <v>295</v>
      </c>
    </row>
    <row r="20" spans="1:13" x14ac:dyDescent="0.3">
      <c r="A20" s="22">
        <v>16</v>
      </c>
      <c r="B20" s="24" t="s">
        <v>48</v>
      </c>
      <c r="C20" s="10" t="s">
        <v>16</v>
      </c>
      <c r="D20" s="10" t="s">
        <v>37</v>
      </c>
      <c r="E20" s="10" t="s">
        <v>49</v>
      </c>
      <c r="F20" s="10" t="s">
        <v>39</v>
      </c>
      <c r="G20" s="24" t="s">
        <v>40</v>
      </c>
      <c r="H20" s="18" t="s">
        <v>41</v>
      </c>
      <c r="I20" s="29">
        <f>IFERROR(SUMIFS([1]INGRESOS!$N$2:$N$10022,[1]INGRESOS!$D$2:$D$10022,$B20),0)</f>
        <v>0</v>
      </c>
      <c r="J20" s="12">
        <f>IFERROR(SUMIFS([2]SALIDAS!$N$2:$N$10069,[2]SALIDAS!$D$2:$D$10069,$B20),0)</f>
        <v>0</v>
      </c>
      <c r="K20" s="25">
        <f>Tabla2[[#This Row],[INGRESOS]]-Tabla2[[#This Row],[SALIDAS]]</f>
        <v>0</v>
      </c>
      <c r="L20" s="4" t="s">
        <v>14</v>
      </c>
      <c r="M20" s="38" t="s">
        <v>1</v>
      </c>
    </row>
    <row r="21" spans="1:13" x14ac:dyDescent="0.3">
      <c r="A21" s="22">
        <v>17</v>
      </c>
      <c r="B21" s="24" t="s">
        <v>50</v>
      </c>
      <c r="C21" s="10" t="s">
        <v>16</v>
      </c>
      <c r="D21" s="10" t="s">
        <v>37</v>
      </c>
      <c r="E21" s="10" t="s">
        <v>49</v>
      </c>
      <c r="F21" s="10" t="s">
        <v>39</v>
      </c>
      <c r="G21" s="24" t="s">
        <v>43</v>
      </c>
      <c r="H21" s="18" t="s">
        <v>41</v>
      </c>
      <c r="I21" s="29">
        <f>IFERROR(SUMIFS([1]INGRESOS!$N$2:$N$10022,[1]INGRESOS!$D$2:$D$10022,$B21),0)</f>
        <v>0</v>
      </c>
      <c r="J21" s="12">
        <f>IFERROR(SUMIFS([2]SALIDAS!$N$2:$N$10069,[2]SALIDAS!$D$2:$D$10069,$B21),0)</f>
        <v>0</v>
      </c>
      <c r="K21" s="25">
        <f>Tabla2[[#This Row],[INGRESOS]]-Tabla2[[#This Row],[SALIDAS]]</f>
        <v>0</v>
      </c>
      <c r="L21" s="3" t="s">
        <v>14</v>
      </c>
      <c r="M21" s="38" t="s">
        <v>1</v>
      </c>
    </row>
    <row r="22" spans="1:13" x14ac:dyDescent="0.3">
      <c r="A22" s="22">
        <v>18</v>
      </c>
      <c r="B22" s="24" t="s">
        <v>51</v>
      </c>
      <c r="C22" s="10" t="s">
        <v>16</v>
      </c>
      <c r="D22" s="10" t="s">
        <v>37</v>
      </c>
      <c r="E22" s="10" t="s">
        <v>49</v>
      </c>
      <c r="F22" s="10" t="s">
        <v>39</v>
      </c>
      <c r="G22" s="24" t="s">
        <v>45</v>
      </c>
      <c r="H22" s="18" t="s">
        <v>41</v>
      </c>
      <c r="I22" s="29">
        <f>IFERROR(SUMIFS([1]INGRESOS!$N$2:$N$10022,[1]INGRESOS!$D$2:$D$10022,$B22),0)</f>
        <v>0</v>
      </c>
      <c r="J22" s="12">
        <f>IFERROR(SUMIFS([2]SALIDAS!$N$2:$N$10069,[2]SALIDAS!$D$2:$D$10069,$B22),0)</f>
        <v>0</v>
      </c>
      <c r="K22" s="25">
        <f>Tabla2[[#This Row],[INGRESOS]]-Tabla2[[#This Row],[SALIDAS]]</f>
        <v>0</v>
      </c>
      <c r="L22" s="3" t="s">
        <v>14</v>
      </c>
      <c r="M22" s="38" t="s">
        <v>1</v>
      </c>
    </row>
    <row r="23" spans="1:13" x14ac:dyDescent="0.3">
      <c r="A23" s="22">
        <v>19</v>
      </c>
      <c r="B23" s="24" t="s">
        <v>52</v>
      </c>
      <c r="C23" s="10" t="s">
        <v>16</v>
      </c>
      <c r="D23" s="10" t="s">
        <v>37</v>
      </c>
      <c r="E23" s="10" t="s">
        <v>49</v>
      </c>
      <c r="F23" s="10" t="s">
        <v>39</v>
      </c>
      <c r="G23" s="24" t="s">
        <v>47</v>
      </c>
      <c r="H23" s="18" t="s">
        <v>41</v>
      </c>
      <c r="I23" s="29">
        <f>IFERROR(SUMIFS([1]INGRESOS!$N$2:$N$10022,[1]INGRESOS!$D$2:$D$10022,$B23),0)</f>
        <v>0</v>
      </c>
      <c r="J23" s="12">
        <f>IFERROR(SUMIFS([2]SALIDAS!$N$2:$N$10069,[2]SALIDAS!$D$2:$D$10069,$B23),0)</f>
        <v>0</v>
      </c>
      <c r="K23" s="25">
        <f>Tabla2[[#This Row],[INGRESOS]]-Tabla2[[#This Row],[SALIDAS]]</f>
        <v>0</v>
      </c>
      <c r="L23" s="3" t="s">
        <v>14</v>
      </c>
      <c r="M23" s="38" t="s">
        <v>1</v>
      </c>
    </row>
    <row r="24" spans="1:13" x14ac:dyDescent="0.3">
      <c r="A24" s="22">
        <v>20</v>
      </c>
      <c r="B24" s="24" t="s">
        <v>53</v>
      </c>
      <c r="C24" s="10" t="s">
        <v>16</v>
      </c>
      <c r="D24" s="10" t="s">
        <v>54</v>
      </c>
      <c r="E24" s="10" t="s">
        <v>18</v>
      </c>
      <c r="F24" s="10" t="s">
        <v>39</v>
      </c>
      <c r="G24" s="24" t="s">
        <v>55</v>
      </c>
      <c r="H24" s="18" t="s">
        <v>41</v>
      </c>
      <c r="I24" s="29">
        <f>IFERROR(SUMIFS([1]INGRESOS!$N$2:$N$10022,[1]INGRESOS!$D$2:$D$10022,$B24),0)</f>
        <v>0</v>
      </c>
      <c r="J24" s="12">
        <f>IFERROR(SUMIFS([2]SALIDAS!$N$2:$N$10069,[2]SALIDAS!$D$2:$D$10069,$B24),0)</f>
        <v>0</v>
      </c>
      <c r="K24" s="25">
        <f>Tabla2[[#This Row],[INGRESOS]]-Tabla2[[#This Row],[SALIDAS]]</f>
        <v>0</v>
      </c>
      <c r="L24" s="3" t="s">
        <v>14</v>
      </c>
      <c r="M24" s="38" t="s">
        <v>1</v>
      </c>
    </row>
    <row r="25" spans="1:13" x14ac:dyDescent="0.3">
      <c r="A25" s="22">
        <v>21</v>
      </c>
      <c r="B25" s="24" t="s">
        <v>56</v>
      </c>
      <c r="C25" s="10" t="s">
        <v>16</v>
      </c>
      <c r="D25" s="10" t="s">
        <v>54</v>
      </c>
      <c r="E25" s="10" t="s">
        <v>18</v>
      </c>
      <c r="F25" s="10" t="s">
        <v>39</v>
      </c>
      <c r="G25" s="24" t="s">
        <v>57</v>
      </c>
      <c r="H25" s="18" t="s">
        <v>41</v>
      </c>
      <c r="I25" s="29">
        <f>IFERROR(SUMIFS([1]INGRESOS!$N$2:$N$10022,[1]INGRESOS!$D$2:$D$10022,$B25),0)</f>
        <v>0</v>
      </c>
      <c r="J25" s="12">
        <f>IFERROR(SUMIFS([2]SALIDAS!$N$2:$N$10069,[2]SALIDAS!$D$2:$D$10069,$B25),0)</f>
        <v>0</v>
      </c>
      <c r="K25" s="25">
        <f>Tabla2[[#This Row],[INGRESOS]]-Tabla2[[#This Row],[SALIDAS]]</f>
        <v>0</v>
      </c>
      <c r="L25" s="4" t="s">
        <v>14</v>
      </c>
      <c r="M25" s="38" t="s">
        <v>293</v>
      </c>
    </row>
    <row r="26" spans="1:13" x14ac:dyDescent="0.3">
      <c r="A26" s="22">
        <v>22</v>
      </c>
      <c r="B26" s="24" t="s">
        <v>58</v>
      </c>
      <c r="C26" s="10" t="s">
        <v>16</v>
      </c>
      <c r="D26" s="10" t="s">
        <v>54</v>
      </c>
      <c r="E26" s="10" t="s">
        <v>18</v>
      </c>
      <c r="F26" s="10" t="s">
        <v>39</v>
      </c>
      <c r="G26" s="24" t="s">
        <v>59</v>
      </c>
      <c r="H26" s="18" t="s">
        <v>41</v>
      </c>
      <c r="I26" s="29">
        <f>IFERROR(SUMIFS([1]INGRESOS!$N$2:$N$10022,[1]INGRESOS!$D$2:$D$10022,$B26),0)</f>
        <v>0</v>
      </c>
      <c r="J26" s="12">
        <f>IFERROR(SUMIFS([2]SALIDAS!$N$2:$N$10069,[2]SALIDAS!$D$2:$D$10069,$B26),0)</f>
        <v>0</v>
      </c>
      <c r="K26" s="25">
        <f>Tabla2[[#This Row],[INGRESOS]]-Tabla2[[#This Row],[SALIDAS]]</f>
        <v>0</v>
      </c>
      <c r="L26" s="4" t="s">
        <v>14</v>
      </c>
      <c r="M26" s="38" t="s">
        <v>1</v>
      </c>
    </row>
    <row r="27" spans="1:13" x14ac:dyDescent="0.3">
      <c r="A27" s="22">
        <v>23</v>
      </c>
      <c r="B27" s="24" t="s">
        <v>60</v>
      </c>
      <c r="C27" s="10" t="s">
        <v>16</v>
      </c>
      <c r="D27" s="10" t="s">
        <v>54</v>
      </c>
      <c r="E27" s="10" t="s">
        <v>18</v>
      </c>
      <c r="F27" s="10" t="s">
        <v>39</v>
      </c>
      <c r="G27" s="24" t="s">
        <v>61</v>
      </c>
      <c r="H27" s="18" t="s">
        <v>41</v>
      </c>
      <c r="I27" s="29">
        <f>IFERROR(SUMIFS([1]INGRESOS!$N$2:$N$10022,[1]INGRESOS!$D$2:$D$10022,$B27),0)</f>
        <v>0</v>
      </c>
      <c r="J27" s="12">
        <f>IFERROR(SUMIFS([2]SALIDAS!$N$2:$N$10069,[2]SALIDAS!$D$2:$D$10069,$B27),0)</f>
        <v>0</v>
      </c>
      <c r="K27" s="25">
        <f>Tabla2[[#This Row],[INGRESOS]]-Tabla2[[#This Row],[SALIDAS]]</f>
        <v>0</v>
      </c>
      <c r="L27" s="3" t="s">
        <v>14</v>
      </c>
      <c r="M27" s="38" t="s">
        <v>1</v>
      </c>
    </row>
    <row r="28" spans="1:13" x14ac:dyDescent="0.3">
      <c r="A28" s="22">
        <v>24</v>
      </c>
      <c r="B28" s="24" t="s">
        <v>62</v>
      </c>
      <c r="C28" s="10" t="s">
        <v>16</v>
      </c>
      <c r="D28" s="10" t="s">
        <v>63</v>
      </c>
      <c r="E28" s="10" t="s">
        <v>64</v>
      </c>
      <c r="F28" s="10" t="s">
        <v>39</v>
      </c>
      <c r="G28" s="24" t="s">
        <v>65</v>
      </c>
      <c r="H28" s="18" t="s">
        <v>41</v>
      </c>
      <c r="I28" s="29">
        <f>IFERROR(SUMIFS([1]INGRESOS!$N$2:$N$10022,[1]INGRESOS!$D$2:$D$10022,$B28),0)</f>
        <v>0</v>
      </c>
      <c r="J28" s="12">
        <f>IFERROR(SUMIFS([2]SALIDAS!$N$2:$N$10069,[2]SALIDAS!$D$2:$D$10069,$B28),0)</f>
        <v>0</v>
      </c>
      <c r="K28" s="25">
        <f>Tabla2[[#This Row],[INGRESOS]]-Tabla2[[#This Row],[SALIDAS]]</f>
        <v>0</v>
      </c>
      <c r="L28" s="3" t="s">
        <v>14</v>
      </c>
      <c r="M28" s="38" t="s">
        <v>1</v>
      </c>
    </row>
    <row r="29" spans="1:13" x14ac:dyDescent="0.3">
      <c r="A29" s="22">
        <v>25</v>
      </c>
      <c r="B29" s="24" t="s">
        <v>66</v>
      </c>
      <c r="C29" s="10" t="s">
        <v>16</v>
      </c>
      <c r="D29" s="10" t="s">
        <v>67</v>
      </c>
      <c r="E29" s="10" t="s">
        <v>18</v>
      </c>
      <c r="F29" s="10" t="s">
        <v>39</v>
      </c>
      <c r="G29" s="24" t="s">
        <v>68</v>
      </c>
      <c r="H29" s="18" t="s">
        <v>41</v>
      </c>
      <c r="I29" s="29">
        <f>IFERROR(SUMIFS([1]INGRESOS!$N$2:$N$10022,[1]INGRESOS!$D$2:$D$10022,$B29),0)</f>
        <v>0</v>
      </c>
      <c r="J29" s="12">
        <f>IFERROR(SUMIFS([2]SALIDAS!$N$2:$N$10069,[2]SALIDAS!$D$2:$D$10069,$B29),0)</f>
        <v>0</v>
      </c>
      <c r="K29" s="25">
        <f>Tabla2[[#This Row],[INGRESOS]]-Tabla2[[#This Row],[SALIDAS]]</f>
        <v>0</v>
      </c>
      <c r="L29" s="3" t="s">
        <v>14</v>
      </c>
      <c r="M29" s="38" t="s">
        <v>1</v>
      </c>
    </row>
    <row r="30" spans="1:13" x14ac:dyDescent="0.3">
      <c r="A30" s="22">
        <v>26</v>
      </c>
      <c r="B30" s="24" t="s">
        <v>69</v>
      </c>
      <c r="C30" s="10" t="s">
        <v>16</v>
      </c>
      <c r="D30" s="10" t="s">
        <v>70</v>
      </c>
      <c r="E30" s="10">
        <v>2024</v>
      </c>
      <c r="F30" s="10" t="s">
        <v>39</v>
      </c>
      <c r="G30" s="24" t="s">
        <v>68</v>
      </c>
      <c r="H30" s="18" t="s">
        <v>41</v>
      </c>
      <c r="I30" s="29">
        <f>IFERROR(SUMIFS([1]INGRESOS!$N$2:$N$10022,[1]INGRESOS!$D$2:$D$10022,$B30),0)</f>
        <v>0</v>
      </c>
      <c r="J30" s="12">
        <f>IFERROR(SUMIFS([2]SALIDAS!$N$2:$N$10069,[2]SALIDAS!$D$2:$D$10069,$B30),0)</f>
        <v>0</v>
      </c>
      <c r="K30" s="25">
        <f>Tabla2[[#This Row],[INGRESOS]]-Tabla2[[#This Row],[SALIDAS]]</f>
        <v>0</v>
      </c>
      <c r="L30" s="3" t="s">
        <v>14</v>
      </c>
      <c r="M30" s="38" t="s">
        <v>293</v>
      </c>
    </row>
    <row r="31" spans="1:13" x14ac:dyDescent="0.3">
      <c r="A31" s="22">
        <v>26</v>
      </c>
      <c r="B31" s="24" t="s">
        <v>71</v>
      </c>
      <c r="C31" s="10" t="s">
        <v>16</v>
      </c>
      <c r="D31" s="10" t="s">
        <v>70</v>
      </c>
      <c r="E31" s="10" t="s">
        <v>38</v>
      </c>
      <c r="F31" s="10" t="s">
        <v>39</v>
      </c>
      <c r="G31" s="24" t="s">
        <v>68</v>
      </c>
      <c r="H31" s="18" t="s">
        <v>41</v>
      </c>
      <c r="I31" s="29">
        <f>IFERROR(SUMIFS([1]INGRESOS!$N$2:$N$10022,[1]INGRESOS!$D$2:$D$10022,$B31),0)</f>
        <v>0</v>
      </c>
      <c r="J31" s="12">
        <f>IFERROR(SUMIFS([2]SALIDAS!$N$2:$N$10069,[2]SALIDAS!$D$2:$D$10069,$B31),0)</f>
        <v>0</v>
      </c>
      <c r="K31" s="25">
        <f>Tabla2[[#This Row],[INGRESOS]]-Tabla2[[#This Row],[SALIDAS]]</f>
        <v>0</v>
      </c>
      <c r="L31" s="3" t="s">
        <v>14</v>
      </c>
      <c r="M31" s="39" t="s">
        <v>294</v>
      </c>
    </row>
    <row r="32" spans="1:13" x14ac:dyDescent="0.3">
      <c r="A32" s="22">
        <v>27</v>
      </c>
      <c r="B32" s="24" t="s">
        <v>72</v>
      </c>
      <c r="C32" s="10" t="s">
        <v>16</v>
      </c>
      <c r="D32" s="10" t="s">
        <v>73</v>
      </c>
      <c r="E32" s="10" t="s">
        <v>38</v>
      </c>
      <c r="F32" s="10" t="s">
        <v>39</v>
      </c>
      <c r="G32" s="24" t="s">
        <v>40</v>
      </c>
      <c r="H32" s="18" t="s">
        <v>41</v>
      </c>
      <c r="I32" s="29">
        <f>IFERROR(SUMIFS([1]INGRESOS!$N$2:$N$10022,[1]INGRESOS!$D$2:$D$10022,$B32),0)</f>
        <v>0</v>
      </c>
      <c r="J32" s="12">
        <f>IFERROR(SUMIFS([2]SALIDAS!$N$2:$N$10069,[2]SALIDAS!$D$2:$D$10069,$B32),0)</f>
        <v>0</v>
      </c>
      <c r="K32" s="25">
        <f>Tabla2[[#This Row],[INGRESOS]]-Tabla2[[#This Row],[SALIDAS]]</f>
        <v>0</v>
      </c>
      <c r="L32" s="4" t="s">
        <v>14</v>
      </c>
      <c r="M32" s="38" t="s">
        <v>1</v>
      </c>
    </row>
    <row r="33" spans="1:13" x14ac:dyDescent="0.3">
      <c r="A33" s="22">
        <v>28</v>
      </c>
      <c r="B33" s="24" t="s">
        <v>74</v>
      </c>
      <c r="C33" s="10" t="s">
        <v>16</v>
      </c>
      <c r="D33" s="10" t="s">
        <v>73</v>
      </c>
      <c r="E33" s="10" t="s">
        <v>38</v>
      </c>
      <c r="F33" s="10" t="s">
        <v>39</v>
      </c>
      <c r="G33" s="24" t="s">
        <v>43</v>
      </c>
      <c r="H33" s="18" t="s">
        <v>41</v>
      </c>
      <c r="I33" s="29">
        <f>IFERROR(SUMIFS([1]INGRESOS!$N$2:$N$10022,[1]INGRESOS!$D$2:$D$10022,$B33),0)</f>
        <v>0</v>
      </c>
      <c r="J33" s="12">
        <f>IFERROR(SUMIFS([2]SALIDAS!$N$2:$N$10069,[2]SALIDAS!$D$2:$D$10069,$B33),0)</f>
        <v>0</v>
      </c>
      <c r="K33" s="25">
        <f>Tabla2[[#This Row],[INGRESOS]]-Tabla2[[#This Row],[SALIDAS]]</f>
        <v>0</v>
      </c>
      <c r="L33" s="4" t="s">
        <v>14</v>
      </c>
      <c r="M33" s="39" t="s">
        <v>294</v>
      </c>
    </row>
    <row r="34" spans="1:13" x14ac:dyDescent="0.3">
      <c r="A34" s="22">
        <v>29</v>
      </c>
      <c r="B34" s="24" t="s">
        <v>75</v>
      </c>
      <c r="C34" s="10" t="s">
        <v>16</v>
      </c>
      <c r="D34" s="10" t="s">
        <v>73</v>
      </c>
      <c r="E34" s="10" t="s">
        <v>38</v>
      </c>
      <c r="F34" s="10" t="s">
        <v>39</v>
      </c>
      <c r="G34" s="24" t="s">
        <v>45</v>
      </c>
      <c r="H34" s="18" t="s">
        <v>41</v>
      </c>
      <c r="I34" s="29">
        <f>IFERROR(SUMIFS([1]INGRESOS!$N$2:$N$10022,[1]INGRESOS!$D$2:$D$10022,$B34),0)</f>
        <v>0</v>
      </c>
      <c r="J34" s="12">
        <f>IFERROR(SUMIFS([2]SALIDAS!$N$2:$N$10069,[2]SALIDAS!$D$2:$D$10069,$B34),0)</f>
        <v>0</v>
      </c>
      <c r="K34" s="25">
        <f>Tabla2[[#This Row],[INGRESOS]]-Tabla2[[#This Row],[SALIDAS]]</f>
        <v>0</v>
      </c>
      <c r="L34" s="3" t="s">
        <v>14</v>
      </c>
      <c r="M34" s="38" t="s">
        <v>1</v>
      </c>
    </row>
    <row r="35" spans="1:13" x14ac:dyDescent="0.3">
      <c r="A35" s="22">
        <v>30</v>
      </c>
      <c r="B35" s="24" t="s">
        <v>76</v>
      </c>
      <c r="C35" s="10" t="s">
        <v>16</v>
      </c>
      <c r="D35" s="10" t="s">
        <v>73</v>
      </c>
      <c r="E35" s="10" t="s">
        <v>38</v>
      </c>
      <c r="F35" s="10" t="s">
        <v>39</v>
      </c>
      <c r="G35" s="24" t="s">
        <v>47</v>
      </c>
      <c r="H35" s="18" t="s">
        <v>41</v>
      </c>
      <c r="I35" s="29">
        <f>IFERROR(SUMIFS([1]INGRESOS!$N$2:$N$10022,[1]INGRESOS!$D$2:$D$10022,$B35),0)</f>
        <v>0</v>
      </c>
      <c r="J35" s="12">
        <f>IFERROR(SUMIFS([2]SALIDAS!$N$2:$N$10069,[2]SALIDAS!$D$2:$D$10069,$B35),0)</f>
        <v>0</v>
      </c>
      <c r="K35" s="25">
        <f>Tabla2[[#This Row],[INGRESOS]]-Tabla2[[#This Row],[SALIDAS]]</f>
        <v>0</v>
      </c>
      <c r="L35" s="3" t="s">
        <v>14</v>
      </c>
      <c r="M35" s="39" t="s">
        <v>294</v>
      </c>
    </row>
    <row r="36" spans="1:13" x14ac:dyDescent="0.3">
      <c r="A36" s="22">
        <v>31</v>
      </c>
      <c r="B36" s="24" t="s">
        <v>77</v>
      </c>
      <c r="C36" s="10" t="s">
        <v>16</v>
      </c>
      <c r="D36" s="10" t="s">
        <v>73</v>
      </c>
      <c r="E36" s="10" t="s">
        <v>78</v>
      </c>
      <c r="F36" s="10" t="s">
        <v>39</v>
      </c>
      <c r="G36" s="24" t="s">
        <v>40</v>
      </c>
      <c r="H36" s="18" t="s">
        <v>41</v>
      </c>
      <c r="I36" s="29">
        <f>IFERROR(SUMIFS([1]INGRESOS!$N$2:$N$10022,[1]INGRESOS!$D$2:$D$10022,$B36),0)</f>
        <v>0</v>
      </c>
      <c r="J36" s="12">
        <f>IFERROR(SUMIFS([2]SALIDAS!$N$2:$N$10069,[2]SALIDAS!$D$2:$D$10069,$B36),0)</f>
        <v>0</v>
      </c>
      <c r="K36" s="25">
        <f>Tabla2[[#This Row],[INGRESOS]]-Tabla2[[#This Row],[SALIDAS]]</f>
        <v>0</v>
      </c>
      <c r="L36" s="3" t="s">
        <v>14</v>
      </c>
      <c r="M36" s="38" t="s">
        <v>1</v>
      </c>
    </row>
    <row r="37" spans="1:13" x14ac:dyDescent="0.3">
      <c r="A37" s="22">
        <v>32</v>
      </c>
      <c r="B37" s="24" t="s">
        <v>79</v>
      </c>
      <c r="C37" s="10" t="s">
        <v>16</v>
      </c>
      <c r="D37" s="10" t="s">
        <v>73</v>
      </c>
      <c r="E37" s="10" t="s">
        <v>78</v>
      </c>
      <c r="F37" s="10" t="s">
        <v>39</v>
      </c>
      <c r="G37" s="24" t="s">
        <v>43</v>
      </c>
      <c r="H37" s="18" t="s">
        <v>41</v>
      </c>
      <c r="I37" s="29">
        <f>IFERROR(SUMIFS([1]INGRESOS!$N$2:$N$10022,[1]INGRESOS!$D$2:$D$10022,$B37),0)</f>
        <v>0</v>
      </c>
      <c r="J37" s="12">
        <f>IFERROR(SUMIFS([2]SALIDAS!$N$2:$N$10069,[2]SALIDAS!$D$2:$D$10069,$B37),0)</f>
        <v>0</v>
      </c>
      <c r="K37" s="35">
        <f>Tabla2[[#This Row],[INGRESOS]]-Tabla2[[#This Row],[SALIDAS]]</f>
        <v>0</v>
      </c>
      <c r="L37" s="3" t="s">
        <v>14</v>
      </c>
      <c r="M37" s="37" t="s">
        <v>295</v>
      </c>
    </row>
    <row r="38" spans="1:13" x14ac:dyDescent="0.3">
      <c r="A38" s="22">
        <v>33</v>
      </c>
      <c r="B38" s="24" t="s">
        <v>80</v>
      </c>
      <c r="C38" s="10" t="s">
        <v>16</v>
      </c>
      <c r="D38" s="10" t="s">
        <v>73</v>
      </c>
      <c r="E38" s="10" t="s">
        <v>78</v>
      </c>
      <c r="F38" s="10" t="s">
        <v>39</v>
      </c>
      <c r="G38" s="24" t="s">
        <v>45</v>
      </c>
      <c r="H38" s="18" t="s">
        <v>41</v>
      </c>
      <c r="I38" s="29">
        <f>IFERROR(SUMIFS([1]INGRESOS!$N$2:$N$10022,[1]INGRESOS!$D$2:$D$10022,$B38),0)</f>
        <v>0</v>
      </c>
      <c r="J38" s="12">
        <f>IFERROR(SUMIFS([2]SALIDAS!$N$2:$N$10069,[2]SALIDAS!$D$2:$D$10069,$B38),0)</f>
        <v>0</v>
      </c>
      <c r="K38" s="25">
        <f>Tabla2[[#This Row],[INGRESOS]]-Tabla2[[#This Row],[SALIDAS]]</f>
        <v>0</v>
      </c>
      <c r="L38" s="4" t="s">
        <v>14</v>
      </c>
      <c r="M38" s="37" t="s">
        <v>295</v>
      </c>
    </row>
    <row r="39" spans="1:13" x14ac:dyDescent="0.3">
      <c r="A39" s="22">
        <v>34</v>
      </c>
      <c r="B39" s="24" t="s">
        <v>81</v>
      </c>
      <c r="C39" s="10" t="s">
        <v>16</v>
      </c>
      <c r="D39" s="10" t="s">
        <v>73</v>
      </c>
      <c r="E39" s="10" t="s">
        <v>78</v>
      </c>
      <c r="F39" s="10" t="s">
        <v>39</v>
      </c>
      <c r="G39" s="24" t="s">
        <v>47</v>
      </c>
      <c r="H39" s="18" t="s">
        <v>41</v>
      </c>
      <c r="I39" s="29">
        <f>IFERROR(SUMIFS([1]INGRESOS!$N$2:$N$10022,[1]INGRESOS!$D$2:$D$10022,$B39),0)</f>
        <v>0</v>
      </c>
      <c r="J39" s="12">
        <f>IFERROR(SUMIFS([2]SALIDAS!$N$2:$N$10069,[2]SALIDAS!$D$2:$D$10069,$B39),0)</f>
        <v>0</v>
      </c>
      <c r="K39" s="25">
        <f>Tabla2[[#This Row],[INGRESOS]]-Tabla2[[#This Row],[SALIDAS]]</f>
        <v>0</v>
      </c>
      <c r="L39" s="4" t="s">
        <v>14</v>
      </c>
      <c r="M39" s="37" t="s">
        <v>295</v>
      </c>
    </row>
    <row r="40" spans="1:13" x14ac:dyDescent="0.3">
      <c r="A40" s="22">
        <v>35</v>
      </c>
      <c r="B40" s="24" t="s">
        <v>82</v>
      </c>
      <c r="C40" s="10" t="s">
        <v>16</v>
      </c>
      <c r="D40" s="10" t="s">
        <v>83</v>
      </c>
      <c r="E40" s="10" t="s">
        <v>38</v>
      </c>
      <c r="F40" s="10" t="s">
        <v>39</v>
      </c>
      <c r="G40" s="24" t="s">
        <v>84</v>
      </c>
      <c r="H40" s="18" t="s">
        <v>41</v>
      </c>
      <c r="I40" s="29">
        <f>IFERROR(SUMIFS([1]INGRESOS!$N$2:$N$10022,[1]INGRESOS!$D$2:$D$10022,$B40),0)</f>
        <v>0</v>
      </c>
      <c r="J40" s="12">
        <f>IFERROR(SUMIFS([2]SALIDAS!$N$2:$N$10069,[2]SALIDAS!$D$2:$D$10069,$B40),0)</f>
        <v>0</v>
      </c>
      <c r="K40" s="25">
        <f>Tabla2[[#This Row],[INGRESOS]]-Tabla2[[#This Row],[SALIDAS]]</f>
        <v>0</v>
      </c>
      <c r="L40" s="3" t="s">
        <v>14</v>
      </c>
      <c r="M40" s="39" t="s">
        <v>294</v>
      </c>
    </row>
    <row r="41" spans="1:13" x14ac:dyDescent="0.3">
      <c r="A41" s="22">
        <v>31</v>
      </c>
      <c r="B41" s="24" t="s">
        <v>85</v>
      </c>
      <c r="C41" s="10" t="s">
        <v>16</v>
      </c>
      <c r="D41" s="10" t="s">
        <v>73</v>
      </c>
      <c r="E41" s="10" t="s">
        <v>64</v>
      </c>
      <c r="F41" s="10" t="s">
        <v>39</v>
      </c>
      <c r="G41" s="24" t="s">
        <v>40</v>
      </c>
      <c r="H41" s="18" t="s">
        <v>41</v>
      </c>
      <c r="I41" s="29">
        <f>IFERROR(SUMIFS([1]INGRESOS!$N$2:$N$10022,[1]INGRESOS!$D$2:$D$10022,$B41),0)</f>
        <v>0</v>
      </c>
      <c r="J41" s="12">
        <f>IFERROR(SUMIFS([2]SALIDAS!$N$2:$N$10069,[2]SALIDAS!$D$2:$D$10069,$B41),0)</f>
        <v>0</v>
      </c>
      <c r="K41" s="25">
        <f>Tabla2[[#This Row],[INGRESOS]]-Tabla2[[#This Row],[SALIDAS]]</f>
        <v>0</v>
      </c>
      <c r="L41" s="3" t="s">
        <v>14</v>
      </c>
      <c r="M41" s="40" t="s">
        <v>296</v>
      </c>
    </row>
    <row r="42" spans="1:13" x14ac:dyDescent="0.3">
      <c r="A42" s="22">
        <v>32</v>
      </c>
      <c r="B42" s="24" t="s">
        <v>86</v>
      </c>
      <c r="C42" s="10" t="s">
        <v>16</v>
      </c>
      <c r="D42" s="10" t="s">
        <v>73</v>
      </c>
      <c r="E42" s="10" t="s">
        <v>64</v>
      </c>
      <c r="F42" s="10" t="s">
        <v>39</v>
      </c>
      <c r="G42" s="24" t="s">
        <v>43</v>
      </c>
      <c r="H42" s="18" t="s">
        <v>41</v>
      </c>
      <c r="I42" s="29">
        <f>IFERROR(SUMIFS([1]INGRESOS!$N$2:$N$10022,[1]INGRESOS!$D$2:$D$10022,$B42),0)</f>
        <v>0</v>
      </c>
      <c r="J42" s="12">
        <f>IFERROR(SUMIFS([2]SALIDAS!$N$2:$N$10069,[2]SALIDAS!$D$2:$D$10069,$B42),0)</f>
        <v>0</v>
      </c>
      <c r="K42" s="25">
        <f>Tabla2[[#This Row],[INGRESOS]]-Tabla2[[#This Row],[SALIDAS]]</f>
        <v>0</v>
      </c>
      <c r="L42" s="3" t="s">
        <v>14</v>
      </c>
      <c r="M42" s="40" t="s">
        <v>296</v>
      </c>
    </row>
    <row r="43" spans="1:13" x14ac:dyDescent="0.3">
      <c r="A43" s="22">
        <v>33</v>
      </c>
      <c r="B43" s="24" t="s">
        <v>87</v>
      </c>
      <c r="C43" s="10" t="s">
        <v>16</v>
      </c>
      <c r="D43" s="10" t="s">
        <v>73</v>
      </c>
      <c r="E43" s="10" t="s">
        <v>64</v>
      </c>
      <c r="F43" s="10" t="s">
        <v>39</v>
      </c>
      <c r="G43" s="24" t="s">
        <v>45</v>
      </c>
      <c r="H43" s="18" t="s">
        <v>41</v>
      </c>
      <c r="I43" s="29">
        <f>IFERROR(SUMIFS([1]INGRESOS!$N$2:$N$10022,[1]INGRESOS!$D$2:$D$10022,$B43),0)</f>
        <v>0</v>
      </c>
      <c r="J43" s="12">
        <f>IFERROR(SUMIFS([2]SALIDAS!$N$2:$N$10069,[2]SALIDAS!$D$2:$D$10069,$B43),0)</f>
        <v>0</v>
      </c>
      <c r="K43" s="25">
        <f>Tabla2[[#This Row],[INGRESOS]]-Tabla2[[#This Row],[SALIDAS]]</f>
        <v>0</v>
      </c>
      <c r="L43" s="4" t="s">
        <v>14</v>
      </c>
      <c r="M43" s="40" t="s">
        <v>296</v>
      </c>
    </row>
    <row r="44" spans="1:13" x14ac:dyDescent="0.3">
      <c r="A44" s="22">
        <v>34</v>
      </c>
      <c r="B44" s="24" t="s">
        <v>88</v>
      </c>
      <c r="C44" s="10" t="s">
        <v>16</v>
      </c>
      <c r="D44" s="10" t="s">
        <v>73</v>
      </c>
      <c r="E44" s="10" t="s">
        <v>64</v>
      </c>
      <c r="F44" s="10" t="s">
        <v>39</v>
      </c>
      <c r="G44" s="24" t="s">
        <v>47</v>
      </c>
      <c r="H44" s="18" t="s">
        <v>41</v>
      </c>
      <c r="I44" s="29">
        <f>IFERROR(SUMIFS([1]INGRESOS!$N$2:$N$10022,[1]INGRESOS!$D$2:$D$10022,$B44),0)</f>
        <v>0</v>
      </c>
      <c r="J44" s="12">
        <f>IFERROR(SUMIFS([2]SALIDAS!$N$2:$N$10069,[2]SALIDAS!$D$2:$D$10069,$B44),0)</f>
        <v>0</v>
      </c>
      <c r="K44" s="25">
        <f>Tabla2[[#This Row],[INGRESOS]]-Tabla2[[#This Row],[SALIDAS]]</f>
        <v>0</v>
      </c>
      <c r="L44" s="4" t="s">
        <v>14</v>
      </c>
      <c r="M44" s="40" t="s">
        <v>296</v>
      </c>
    </row>
    <row r="45" spans="1:13" x14ac:dyDescent="0.3">
      <c r="A45" s="22">
        <v>36</v>
      </c>
      <c r="B45" s="26" t="s">
        <v>89</v>
      </c>
      <c r="C45" s="19" t="s">
        <v>16</v>
      </c>
      <c r="D45" s="19" t="s">
        <v>73</v>
      </c>
      <c r="E45" s="19" t="s">
        <v>90</v>
      </c>
      <c r="F45" s="19" t="s">
        <v>39</v>
      </c>
      <c r="G45" s="26" t="s">
        <v>40</v>
      </c>
      <c r="H45" s="20" t="s">
        <v>41</v>
      </c>
      <c r="I45" s="33">
        <f>IFERROR(SUMIFS([1]INGRESOS!$N$2:$N$10022,[1]INGRESOS!$D$2:$D$10022,$B45),0)</f>
        <v>0</v>
      </c>
      <c r="J45" s="34">
        <f>IFERROR(SUMIFS([2]SALIDAS!$N$2:$N$10069,[2]SALIDAS!$D$2:$D$10069,$B45),0)</f>
        <v>0</v>
      </c>
      <c r="K45" s="34">
        <f>Tabla2[[#This Row],[INGRESOS]]-Tabla2[[#This Row],[SALIDAS]]</f>
        <v>0</v>
      </c>
      <c r="L45" s="27" t="s">
        <v>14</v>
      </c>
      <c r="M45" s="41" t="s">
        <v>297</v>
      </c>
    </row>
    <row r="46" spans="1:13" x14ac:dyDescent="0.3">
      <c r="A46" s="22">
        <v>37</v>
      </c>
      <c r="B46" s="26" t="s">
        <v>91</v>
      </c>
      <c r="C46" s="19" t="s">
        <v>16</v>
      </c>
      <c r="D46" s="19" t="s">
        <v>73</v>
      </c>
      <c r="E46" s="19" t="s">
        <v>90</v>
      </c>
      <c r="F46" s="19" t="s">
        <v>39</v>
      </c>
      <c r="G46" s="26" t="s">
        <v>43</v>
      </c>
      <c r="H46" s="20" t="s">
        <v>41</v>
      </c>
      <c r="I46" s="33">
        <f>IFERROR(SUMIFS([1]INGRESOS!$N$2:$N$10022,[1]INGRESOS!$D$2:$D$10022,$B46),0)</f>
        <v>0</v>
      </c>
      <c r="J46" s="34">
        <f>IFERROR(SUMIFS([2]SALIDAS!$N$2:$N$10069,[2]SALIDAS!$D$2:$D$10069,$B46),0)</f>
        <v>0</v>
      </c>
      <c r="K46" s="34">
        <f>Tabla2[[#This Row],[INGRESOS]]-Tabla2[[#This Row],[SALIDAS]]</f>
        <v>0</v>
      </c>
      <c r="L46" s="27" t="s">
        <v>14</v>
      </c>
      <c r="M46" s="41" t="s">
        <v>298</v>
      </c>
    </row>
    <row r="47" spans="1:13" x14ac:dyDescent="0.3">
      <c r="A47" s="22">
        <v>38</v>
      </c>
      <c r="B47" s="26" t="s">
        <v>92</v>
      </c>
      <c r="C47" s="19" t="s">
        <v>16</v>
      </c>
      <c r="D47" s="19" t="s">
        <v>73</v>
      </c>
      <c r="E47" s="19" t="s">
        <v>90</v>
      </c>
      <c r="F47" s="19" t="s">
        <v>39</v>
      </c>
      <c r="G47" s="26" t="s">
        <v>45</v>
      </c>
      <c r="H47" s="20" t="s">
        <v>41</v>
      </c>
      <c r="I47" s="33">
        <f>IFERROR(SUMIFS([1]INGRESOS!$N$2:$N$10022,[1]INGRESOS!$D$2:$D$10022,$B47),0)</f>
        <v>0</v>
      </c>
      <c r="J47" s="34">
        <f>IFERROR(SUMIFS([2]SALIDAS!$N$2:$N$10069,[2]SALIDAS!$D$2:$D$10069,$B47),0)</f>
        <v>0</v>
      </c>
      <c r="K47" s="34">
        <f>Tabla2[[#This Row],[INGRESOS]]-Tabla2[[#This Row],[SALIDAS]]</f>
        <v>0</v>
      </c>
      <c r="L47" s="27" t="s">
        <v>14</v>
      </c>
      <c r="M47" s="41" t="s">
        <v>297</v>
      </c>
    </row>
    <row r="48" spans="1:13" x14ac:dyDescent="0.3">
      <c r="A48" s="22">
        <v>39</v>
      </c>
      <c r="B48" s="26" t="s">
        <v>93</v>
      </c>
      <c r="C48" s="19" t="s">
        <v>16</v>
      </c>
      <c r="D48" s="19" t="s">
        <v>73</v>
      </c>
      <c r="E48" s="19" t="s">
        <v>90</v>
      </c>
      <c r="F48" s="19" t="s">
        <v>39</v>
      </c>
      <c r="G48" s="26" t="s">
        <v>94</v>
      </c>
      <c r="H48" s="20" t="s">
        <v>41</v>
      </c>
      <c r="I48" s="33">
        <f>IFERROR(SUMIFS([1]INGRESOS!$N$2:$N$10022,[1]INGRESOS!$D$2:$D$10022,$B48),0)</f>
        <v>0</v>
      </c>
      <c r="J48" s="34">
        <f>IFERROR(SUMIFS([2]SALIDAS!$N$2:$N$10069,[2]SALIDAS!$D$2:$D$10069,$B48),0)</f>
        <v>0</v>
      </c>
      <c r="K48" s="34">
        <f>Tabla2[[#This Row],[INGRESOS]]-Tabla2[[#This Row],[SALIDAS]]</f>
        <v>0</v>
      </c>
      <c r="L48" s="28" t="s">
        <v>14</v>
      </c>
      <c r="M48" s="41" t="s">
        <v>298</v>
      </c>
    </row>
    <row r="49" spans="1:13" x14ac:dyDescent="0.3">
      <c r="A49" s="22">
        <v>40</v>
      </c>
      <c r="B49" s="24" t="s">
        <v>95</v>
      </c>
      <c r="C49" s="10" t="s">
        <v>16</v>
      </c>
      <c r="D49" s="10" t="s">
        <v>96</v>
      </c>
      <c r="E49" s="10" t="s">
        <v>78</v>
      </c>
      <c r="F49" s="10" t="s">
        <v>39</v>
      </c>
      <c r="G49" s="24" t="s">
        <v>97</v>
      </c>
      <c r="H49" s="20" t="s">
        <v>41</v>
      </c>
      <c r="I49" s="29">
        <f>IFERROR(SUMIFS([1]INGRESOS!$N$2:$N$10022,[1]INGRESOS!$D$2:$D$10022,$B49),0)</f>
        <v>0</v>
      </c>
      <c r="J49" s="12">
        <f>IFERROR(SUMIFS([2]SALIDAS!$N$2:$N$10069,[2]SALIDAS!$D$2:$D$10069,$B49),0)</f>
        <v>0</v>
      </c>
      <c r="K49" s="25">
        <f>Tabla2[[#This Row],[INGRESOS]]-Tabla2[[#This Row],[SALIDAS]]</f>
        <v>0</v>
      </c>
      <c r="L49" s="4" t="s">
        <v>14</v>
      </c>
      <c r="M49" s="38" t="s">
        <v>1</v>
      </c>
    </row>
    <row r="50" spans="1:13" x14ac:dyDescent="0.3">
      <c r="A50" s="22">
        <v>41</v>
      </c>
      <c r="B50" s="24" t="s">
        <v>98</v>
      </c>
      <c r="C50" s="10" t="s">
        <v>16</v>
      </c>
      <c r="D50" s="10" t="s">
        <v>96</v>
      </c>
      <c r="E50" s="10" t="s">
        <v>78</v>
      </c>
      <c r="F50" s="10" t="s">
        <v>39</v>
      </c>
      <c r="G50" s="24" t="s">
        <v>99</v>
      </c>
      <c r="H50" s="18" t="s">
        <v>41</v>
      </c>
      <c r="I50" s="29">
        <f>IFERROR(SUMIFS([1]INGRESOS!$N$2:$N$10022,[1]INGRESOS!$D$2:$D$10022,$B50),0)</f>
        <v>0</v>
      </c>
      <c r="J50" s="12">
        <f>IFERROR(SUMIFS([2]SALIDAS!$N$2:$N$10069,[2]SALIDAS!$D$2:$D$10069,$B50),0)</f>
        <v>0</v>
      </c>
      <c r="K50" s="25">
        <f>Tabla2[[#This Row],[INGRESOS]]-Tabla2[[#This Row],[SALIDAS]]</f>
        <v>0</v>
      </c>
      <c r="L50" s="3" t="s">
        <v>14</v>
      </c>
      <c r="M50" s="40" t="s">
        <v>296</v>
      </c>
    </row>
    <row r="51" spans="1:13" x14ac:dyDescent="0.3">
      <c r="A51" s="22">
        <v>42</v>
      </c>
      <c r="B51" s="24" t="s">
        <v>100</v>
      </c>
      <c r="C51" s="10" t="s">
        <v>16</v>
      </c>
      <c r="D51" s="10" t="s">
        <v>96</v>
      </c>
      <c r="E51" s="10" t="s">
        <v>78</v>
      </c>
      <c r="F51" s="10" t="s">
        <v>39</v>
      </c>
      <c r="G51" s="24" t="s">
        <v>101</v>
      </c>
      <c r="H51" s="18" t="s">
        <v>41</v>
      </c>
      <c r="I51" s="29">
        <f>IFERROR(SUMIFS([1]INGRESOS!$N$2:$N$10022,[1]INGRESOS!$D$2:$D$10022,$B51),0)</f>
        <v>0</v>
      </c>
      <c r="J51" s="12">
        <f>IFERROR(SUMIFS([2]SALIDAS!$N$2:$N$10069,[2]SALIDAS!$D$2:$D$10069,$B51),0)</f>
        <v>0</v>
      </c>
      <c r="K51" s="25">
        <f>Tabla2[[#This Row],[INGRESOS]]-Tabla2[[#This Row],[SALIDAS]]</f>
        <v>0</v>
      </c>
      <c r="L51" s="3" t="s">
        <v>14</v>
      </c>
      <c r="M51" s="38" t="s">
        <v>1</v>
      </c>
    </row>
    <row r="52" spans="1:13" x14ac:dyDescent="0.3">
      <c r="A52" s="22">
        <v>43</v>
      </c>
      <c r="B52" s="24" t="s">
        <v>102</v>
      </c>
      <c r="C52" s="10" t="s">
        <v>16</v>
      </c>
      <c r="D52" s="10" t="s">
        <v>96</v>
      </c>
      <c r="E52" s="10" t="s">
        <v>78</v>
      </c>
      <c r="F52" s="10" t="s">
        <v>39</v>
      </c>
      <c r="G52" s="24" t="s">
        <v>103</v>
      </c>
      <c r="H52" s="18" t="s">
        <v>41</v>
      </c>
      <c r="I52" s="29">
        <f>IFERROR(SUMIFS([1]INGRESOS!$N$2:$N$10022,[1]INGRESOS!$D$2:$D$10022,$B52),0)</f>
        <v>0</v>
      </c>
      <c r="J52" s="12">
        <f>IFERROR(SUMIFS([2]SALIDAS!$N$2:$N$10069,[2]SALIDAS!$D$2:$D$10069,$B52),0)</f>
        <v>0</v>
      </c>
      <c r="K52" s="25">
        <f>Tabla2[[#This Row],[INGRESOS]]-Tabla2[[#This Row],[SALIDAS]]</f>
        <v>0</v>
      </c>
      <c r="L52" s="3" t="s">
        <v>14</v>
      </c>
      <c r="M52" s="38" t="s">
        <v>1</v>
      </c>
    </row>
    <row r="53" spans="1:13" x14ac:dyDescent="0.3">
      <c r="A53" s="22">
        <v>44</v>
      </c>
      <c r="B53" s="24" t="s">
        <v>104</v>
      </c>
      <c r="C53" s="10" t="s">
        <v>16</v>
      </c>
      <c r="D53" s="10" t="s">
        <v>105</v>
      </c>
      <c r="E53" s="10" t="s">
        <v>78</v>
      </c>
      <c r="F53" s="10" t="s">
        <v>39</v>
      </c>
      <c r="G53" s="24" t="s">
        <v>106</v>
      </c>
      <c r="H53" s="18" t="s">
        <v>41</v>
      </c>
      <c r="I53" s="29">
        <f>IFERROR(SUMIFS([1]INGRESOS!$N$2:$N$10022,[1]INGRESOS!$D$2:$D$10022,$B53),0)</f>
        <v>0</v>
      </c>
      <c r="J53" s="12">
        <f>IFERROR(SUMIFS([2]SALIDAS!$N$2:$N$10069,[2]SALIDAS!$D$2:$D$10069,$B53),0)</f>
        <v>0</v>
      </c>
      <c r="K53" s="25">
        <f>Tabla2[[#This Row],[INGRESOS]]-Tabla2[[#This Row],[SALIDAS]]</f>
        <v>0</v>
      </c>
      <c r="L53" s="3" t="s">
        <v>14</v>
      </c>
      <c r="M53" s="40" t="s">
        <v>296</v>
      </c>
    </row>
    <row r="54" spans="1:13" x14ac:dyDescent="0.3">
      <c r="A54" s="22">
        <v>45</v>
      </c>
      <c r="B54" s="24" t="s">
        <v>107</v>
      </c>
      <c r="C54" s="10" t="s">
        <v>16</v>
      </c>
      <c r="D54" s="10" t="s">
        <v>108</v>
      </c>
      <c r="E54" s="10" t="s">
        <v>78</v>
      </c>
      <c r="F54" s="10" t="s">
        <v>39</v>
      </c>
      <c r="G54" s="24" t="s">
        <v>84</v>
      </c>
      <c r="H54" s="18" t="s">
        <v>41</v>
      </c>
      <c r="I54" s="29">
        <f>IFERROR(SUMIFS([1]INGRESOS!$N$2:$N$10022,[1]INGRESOS!$D$2:$D$10022,$B54),0)</f>
        <v>0</v>
      </c>
      <c r="J54" s="12">
        <f>IFERROR(SUMIFS([2]SALIDAS!$N$2:$N$10069,[2]SALIDAS!$D$2:$D$10069,$B54),0)</f>
        <v>0</v>
      </c>
      <c r="K54" s="25">
        <f>Tabla2[[#This Row],[INGRESOS]]-Tabla2[[#This Row],[SALIDAS]]</f>
        <v>0</v>
      </c>
      <c r="L54" s="4" t="s">
        <v>14</v>
      </c>
      <c r="M54" s="40" t="s">
        <v>296</v>
      </c>
    </row>
    <row r="55" spans="1:13" x14ac:dyDescent="0.3">
      <c r="A55" s="22">
        <v>46</v>
      </c>
      <c r="B55" s="24" t="s">
        <v>109</v>
      </c>
      <c r="C55" s="10" t="s">
        <v>16</v>
      </c>
      <c r="D55" s="10" t="s">
        <v>110</v>
      </c>
      <c r="E55" s="10" t="s">
        <v>38</v>
      </c>
      <c r="F55" s="10" t="s">
        <v>39</v>
      </c>
      <c r="G55" s="24" t="s">
        <v>68</v>
      </c>
      <c r="H55" s="18" t="s">
        <v>41</v>
      </c>
      <c r="I55" s="29">
        <f>IFERROR(SUMIFS([1]INGRESOS!$N$2:$N$10022,[1]INGRESOS!$D$2:$D$10022,$B55),0)</f>
        <v>0</v>
      </c>
      <c r="J55" s="12">
        <f>IFERROR(SUMIFS([2]SALIDAS!$N$2:$N$10069,[2]SALIDAS!$D$2:$D$10069,$B55),0)</f>
        <v>0</v>
      </c>
      <c r="K55" s="25">
        <f>Tabla2[[#This Row],[INGRESOS]]-Tabla2[[#This Row],[SALIDAS]]</f>
        <v>0</v>
      </c>
      <c r="L55" s="4" t="s">
        <v>14</v>
      </c>
      <c r="M55" s="38" t="s">
        <v>1</v>
      </c>
    </row>
    <row r="56" spans="1:13" x14ac:dyDescent="0.3">
      <c r="A56" s="22">
        <v>47</v>
      </c>
      <c r="B56" s="24" t="s">
        <v>111</v>
      </c>
      <c r="C56" s="10" t="s">
        <v>112</v>
      </c>
      <c r="D56" s="10" t="s">
        <v>113</v>
      </c>
      <c r="E56" s="10" t="s">
        <v>18</v>
      </c>
      <c r="F56" s="11" t="s">
        <v>39</v>
      </c>
      <c r="G56" s="24" t="s">
        <v>106</v>
      </c>
      <c r="H56" s="18" t="s">
        <v>41</v>
      </c>
      <c r="I56" s="29">
        <f>IFERROR(SUMIFS([1]INGRESOS!$N$2:$N$10022,[1]INGRESOS!$D$2:$D$10022,$B56),0)</f>
        <v>0</v>
      </c>
      <c r="J56" s="12">
        <f>IFERROR(SUMIFS([2]SALIDAS!$N$2:$N$10069,[2]SALIDAS!$D$2:$D$10069,$B56),0)</f>
        <v>0</v>
      </c>
      <c r="K56" s="25">
        <f>Tabla2[[#This Row],[INGRESOS]]-Tabla2[[#This Row],[SALIDAS]]</f>
        <v>0</v>
      </c>
      <c r="L56" s="3" t="s">
        <v>14</v>
      </c>
      <c r="M56" s="38" t="s">
        <v>1</v>
      </c>
    </row>
    <row r="57" spans="1:13" x14ac:dyDescent="0.3">
      <c r="A57" s="22">
        <v>48</v>
      </c>
      <c r="B57" s="24" t="s">
        <v>114</v>
      </c>
      <c r="C57" s="10" t="s">
        <v>112</v>
      </c>
      <c r="D57" s="10" t="s">
        <v>115</v>
      </c>
      <c r="E57" s="10" t="s">
        <v>18</v>
      </c>
      <c r="F57" s="11" t="s">
        <v>39</v>
      </c>
      <c r="G57" s="24" t="s">
        <v>116</v>
      </c>
      <c r="H57" s="18" t="s">
        <v>41</v>
      </c>
      <c r="I57" s="29">
        <f>IFERROR(SUMIFS([1]INGRESOS!$N$2:$N$10022,[1]INGRESOS!$D$2:$D$10022,$B57),0)</f>
        <v>0</v>
      </c>
      <c r="J57" s="12">
        <f>IFERROR(SUMIFS([2]SALIDAS!$N$2:$N$10069,[2]SALIDAS!$D$2:$D$10069,$B57),0)</f>
        <v>0</v>
      </c>
      <c r="K57" s="25">
        <f>Tabla2[[#This Row],[INGRESOS]]-Tabla2[[#This Row],[SALIDAS]]</f>
        <v>0</v>
      </c>
      <c r="L57" s="3" t="s">
        <v>14</v>
      </c>
      <c r="M57" s="39" t="s">
        <v>294</v>
      </c>
    </row>
    <row r="58" spans="1:13" x14ac:dyDescent="0.3">
      <c r="A58" s="22">
        <v>49</v>
      </c>
      <c r="B58" s="24" t="s">
        <v>117</v>
      </c>
      <c r="C58" s="10" t="s">
        <v>112</v>
      </c>
      <c r="D58" s="10" t="s">
        <v>118</v>
      </c>
      <c r="E58" s="10" t="s">
        <v>18</v>
      </c>
      <c r="F58" s="10" t="s">
        <v>119</v>
      </c>
      <c r="G58" s="24" t="s">
        <v>120</v>
      </c>
      <c r="H58" s="18" t="s">
        <v>41</v>
      </c>
      <c r="I58" s="29">
        <f>IFERROR(SUMIFS([1]INGRESOS!$N$2:$N$10022,[1]INGRESOS!$D$2:$D$10022,$B58),0)</f>
        <v>0</v>
      </c>
      <c r="J58" s="12">
        <f>IFERROR(SUMIFS([2]SALIDAS!$N$2:$N$10069,[2]SALIDAS!$D$2:$D$10069,$B58),0)</f>
        <v>0</v>
      </c>
      <c r="K58" s="25">
        <f>Tabla2[[#This Row],[INGRESOS]]-Tabla2[[#This Row],[SALIDAS]]</f>
        <v>0</v>
      </c>
      <c r="L58" s="3" t="s">
        <v>14</v>
      </c>
      <c r="M58" s="39" t="s">
        <v>294</v>
      </c>
    </row>
    <row r="59" spans="1:13" x14ac:dyDescent="0.3">
      <c r="A59" s="22">
        <v>50</v>
      </c>
      <c r="B59" s="24" t="s">
        <v>121</v>
      </c>
      <c r="C59" s="10" t="s">
        <v>122</v>
      </c>
      <c r="D59" s="10" t="s">
        <v>123</v>
      </c>
      <c r="E59" s="10" t="s">
        <v>18</v>
      </c>
      <c r="F59" s="10" t="s">
        <v>19</v>
      </c>
      <c r="G59" s="24" t="s">
        <v>68</v>
      </c>
      <c r="H59" s="18" t="s">
        <v>41</v>
      </c>
      <c r="I59" s="29">
        <f>IFERROR(SUMIFS([1]INGRESOS!$N$2:$N$10022,[1]INGRESOS!$D$2:$D$10022,$B59),0)</f>
        <v>0</v>
      </c>
      <c r="J59" s="12">
        <f>IFERROR(SUMIFS([2]SALIDAS!$N$2:$N$10069,[2]SALIDAS!$D$2:$D$10069,$B59),0)</f>
        <v>0</v>
      </c>
      <c r="K59" s="25">
        <f>Tabla2[[#This Row],[INGRESOS]]-Tabla2[[#This Row],[SALIDAS]]</f>
        <v>0</v>
      </c>
      <c r="L59" s="3" t="s">
        <v>14</v>
      </c>
      <c r="M59" s="38" t="s">
        <v>293</v>
      </c>
    </row>
    <row r="60" spans="1:13" x14ac:dyDescent="0.3">
      <c r="A60" s="22">
        <v>51</v>
      </c>
      <c r="B60" s="24" t="s">
        <v>124</v>
      </c>
      <c r="C60" s="10" t="s">
        <v>125</v>
      </c>
      <c r="D60" s="10" t="s">
        <v>118</v>
      </c>
      <c r="E60" s="10" t="s">
        <v>18</v>
      </c>
      <c r="F60" s="10" t="s">
        <v>19</v>
      </c>
      <c r="G60" s="24" t="s">
        <v>126</v>
      </c>
      <c r="H60" s="18" t="s">
        <v>41</v>
      </c>
      <c r="I60" s="29">
        <f>IFERROR(SUMIFS([1]INGRESOS!$N$2:$N$10022,[1]INGRESOS!$D$2:$D$10022,$B60),0)</f>
        <v>0</v>
      </c>
      <c r="J60" s="12">
        <f>IFERROR(SUMIFS([2]SALIDAS!$N$2:$N$10069,[2]SALIDAS!$D$2:$D$10069,$B60),0)</f>
        <v>0</v>
      </c>
      <c r="K60" s="25">
        <f>Tabla2[[#This Row],[INGRESOS]]-Tabla2[[#This Row],[SALIDAS]]</f>
        <v>0</v>
      </c>
      <c r="L60" s="4" t="s">
        <v>14</v>
      </c>
      <c r="M60" s="38" t="s">
        <v>1</v>
      </c>
    </row>
    <row r="61" spans="1:13" x14ac:dyDescent="0.3">
      <c r="A61" s="22">
        <v>52</v>
      </c>
      <c r="B61" s="24" t="s">
        <v>127</v>
      </c>
      <c r="C61" s="10" t="s">
        <v>125</v>
      </c>
      <c r="D61" s="10" t="s">
        <v>128</v>
      </c>
      <c r="E61" s="10" t="s">
        <v>18</v>
      </c>
      <c r="F61" s="10" t="s">
        <v>39</v>
      </c>
      <c r="G61" s="24" t="s">
        <v>68</v>
      </c>
      <c r="H61" s="18" t="s">
        <v>41</v>
      </c>
      <c r="I61" s="29">
        <f>IFERROR(SUMIFS([1]INGRESOS!$N$2:$N$10022,[1]INGRESOS!$D$2:$D$10022,$B61),0)</f>
        <v>0</v>
      </c>
      <c r="J61" s="12">
        <f>IFERROR(SUMIFS([2]SALIDAS!$N$2:$N$10069,[2]SALIDAS!$D$2:$D$10069,$B61),0)</f>
        <v>0</v>
      </c>
      <c r="K61" s="25">
        <f>Tabla2[[#This Row],[INGRESOS]]-Tabla2[[#This Row],[SALIDAS]]</f>
        <v>0</v>
      </c>
      <c r="L61" s="4" t="s">
        <v>14</v>
      </c>
      <c r="M61" s="38" t="s">
        <v>293</v>
      </c>
    </row>
    <row r="62" spans="1:13" x14ac:dyDescent="0.3">
      <c r="A62" s="22">
        <v>53</v>
      </c>
      <c r="B62" s="24" t="s">
        <v>129</v>
      </c>
      <c r="C62" s="10" t="s">
        <v>125</v>
      </c>
      <c r="D62" s="10" t="s">
        <v>130</v>
      </c>
      <c r="E62" s="10" t="s">
        <v>18</v>
      </c>
      <c r="F62" s="10" t="s">
        <v>131</v>
      </c>
      <c r="G62" s="24" t="s">
        <v>132</v>
      </c>
      <c r="H62" s="18" t="s">
        <v>41</v>
      </c>
      <c r="I62" s="29">
        <f>IFERROR(SUMIFS([1]INGRESOS!$N$2:$N$10022,[1]INGRESOS!$D$2:$D$10022,$B62),0)</f>
        <v>0</v>
      </c>
      <c r="J62" s="12">
        <f>IFERROR(SUMIFS([2]SALIDAS!$N$2:$N$10069,[2]SALIDAS!$D$2:$D$10069,$B62),0)</f>
        <v>0</v>
      </c>
      <c r="K62" s="25">
        <f>Tabla2[[#This Row],[INGRESOS]]-Tabla2[[#This Row],[SALIDAS]]</f>
        <v>0</v>
      </c>
      <c r="L62" s="3" t="s">
        <v>14</v>
      </c>
      <c r="M62" s="38" t="s">
        <v>1</v>
      </c>
    </row>
    <row r="63" spans="1:13" x14ac:dyDescent="0.3">
      <c r="A63" s="22">
        <v>54</v>
      </c>
      <c r="B63" s="24" t="s">
        <v>133</v>
      </c>
      <c r="C63" s="10" t="s">
        <v>125</v>
      </c>
      <c r="D63" s="10" t="s">
        <v>130</v>
      </c>
      <c r="E63" s="10" t="s">
        <v>18</v>
      </c>
      <c r="F63" s="10" t="s">
        <v>131</v>
      </c>
      <c r="G63" s="24" t="s">
        <v>134</v>
      </c>
      <c r="H63" s="18" t="s">
        <v>41</v>
      </c>
      <c r="I63" s="29">
        <f>IFERROR(SUMIFS([1]INGRESOS!$N$2:$N$10022,[1]INGRESOS!$D$2:$D$10022,$B63),0)</f>
        <v>0</v>
      </c>
      <c r="J63" s="12">
        <f>IFERROR(SUMIFS([2]SALIDAS!$N$2:$N$10069,[2]SALIDAS!$D$2:$D$10069,$B63),0)</f>
        <v>0</v>
      </c>
      <c r="K63" s="25">
        <f>Tabla2[[#This Row],[INGRESOS]]-Tabla2[[#This Row],[SALIDAS]]</f>
        <v>0</v>
      </c>
      <c r="L63" s="3" t="s">
        <v>14</v>
      </c>
      <c r="M63" s="38" t="s">
        <v>1</v>
      </c>
    </row>
    <row r="64" spans="1:13" x14ac:dyDescent="0.3">
      <c r="A64" s="22">
        <v>55</v>
      </c>
      <c r="B64" s="24" t="s">
        <v>135</v>
      </c>
      <c r="C64" s="10" t="s">
        <v>125</v>
      </c>
      <c r="D64" s="10" t="s">
        <v>96</v>
      </c>
      <c r="E64" s="10" t="s">
        <v>18</v>
      </c>
      <c r="F64" s="10" t="s">
        <v>131</v>
      </c>
      <c r="G64" s="24" t="s">
        <v>136</v>
      </c>
      <c r="H64" s="18" t="s">
        <v>41</v>
      </c>
      <c r="I64" s="29">
        <f>IFERROR(SUMIFS([1]INGRESOS!$N$2:$N$10022,[1]INGRESOS!$D$2:$D$10022,$B64),0)</f>
        <v>0</v>
      </c>
      <c r="J64" s="12">
        <f>IFERROR(SUMIFS([2]SALIDAS!$N$2:$N$10069,[2]SALIDAS!$D$2:$D$10069,$B64),0)</f>
        <v>0</v>
      </c>
      <c r="K64" s="25">
        <f>Tabla2[[#This Row],[INGRESOS]]-Tabla2[[#This Row],[SALIDAS]]</f>
        <v>0</v>
      </c>
      <c r="L64" s="3" t="s">
        <v>14</v>
      </c>
      <c r="M64" s="38" t="s">
        <v>1</v>
      </c>
    </row>
    <row r="65" spans="1:13" x14ac:dyDescent="0.3">
      <c r="A65" s="22">
        <v>56</v>
      </c>
      <c r="B65" s="24" t="s">
        <v>137</v>
      </c>
      <c r="C65" s="10" t="s">
        <v>138</v>
      </c>
      <c r="D65" s="10" t="s">
        <v>130</v>
      </c>
      <c r="E65" s="10" t="s">
        <v>18</v>
      </c>
      <c r="F65" s="10" t="s">
        <v>131</v>
      </c>
      <c r="G65" s="24" t="s">
        <v>132</v>
      </c>
      <c r="H65" s="18" t="s">
        <v>41</v>
      </c>
      <c r="I65" s="29">
        <f>IFERROR(SUMIFS([1]INGRESOS!$N$2:$N$10022,[1]INGRESOS!$D$2:$D$10022,$B65),0)</f>
        <v>0</v>
      </c>
      <c r="J65" s="12">
        <f>IFERROR(SUMIFS([2]SALIDAS!$N$2:$N$10069,[2]SALIDAS!$D$2:$D$10069,$B65),0)</f>
        <v>0</v>
      </c>
      <c r="K65" s="25">
        <f>Tabla2[[#This Row],[INGRESOS]]-Tabla2[[#This Row],[SALIDAS]]</f>
        <v>0</v>
      </c>
      <c r="L65" s="3" t="s">
        <v>14</v>
      </c>
      <c r="M65" s="38" t="s">
        <v>1</v>
      </c>
    </row>
    <row r="66" spans="1:13" x14ac:dyDescent="0.3">
      <c r="A66" s="22">
        <v>57</v>
      </c>
      <c r="B66" s="24" t="s">
        <v>139</v>
      </c>
      <c r="C66" s="10" t="s">
        <v>140</v>
      </c>
      <c r="D66" s="10" t="s">
        <v>130</v>
      </c>
      <c r="E66" s="10" t="s">
        <v>18</v>
      </c>
      <c r="F66" s="10" t="s">
        <v>131</v>
      </c>
      <c r="G66" s="24" t="s">
        <v>132</v>
      </c>
      <c r="H66" s="18" t="s">
        <v>41</v>
      </c>
      <c r="I66" s="29">
        <f>IFERROR(SUMIFS([1]INGRESOS!$N$2:$N$10022,[1]INGRESOS!$D$2:$D$10022,$B66),0)</f>
        <v>0</v>
      </c>
      <c r="J66" s="12">
        <f>IFERROR(SUMIFS([2]SALIDAS!$N$2:$N$10069,[2]SALIDAS!$D$2:$D$10069,$B66),0)</f>
        <v>0</v>
      </c>
      <c r="K66" s="25">
        <f>Tabla2[[#This Row],[INGRESOS]]-Tabla2[[#This Row],[SALIDAS]]</f>
        <v>0</v>
      </c>
      <c r="L66" s="3" t="s">
        <v>14</v>
      </c>
      <c r="M66" s="38" t="s">
        <v>1</v>
      </c>
    </row>
    <row r="67" spans="1:13" x14ac:dyDescent="0.3">
      <c r="A67" s="22">
        <v>58</v>
      </c>
      <c r="B67" s="24" t="s">
        <v>141</v>
      </c>
      <c r="C67" s="10" t="s">
        <v>142</v>
      </c>
      <c r="D67" s="10" t="s">
        <v>130</v>
      </c>
      <c r="E67" s="10" t="s">
        <v>18</v>
      </c>
      <c r="F67" s="10" t="s">
        <v>131</v>
      </c>
      <c r="G67" s="24" t="s">
        <v>132</v>
      </c>
      <c r="H67" s="18" t="s">
        <v>41</v>
      </c>
      <c r="I67" s="29">
        <f>IFERROR(SUMIFS([1]INGRESOS!$N$2:$N$10022,[1]INGRESOS!$D$2:$D$10022,$B67),0)</f>
        <v>0</v>
      </c>
      <c r="J67" s="12">
        <f>IFERROR(SUMIFS([2]SALIDAS!$N$2:$N$10069,[2]SALIDAS!$D$2:$D$10069,$B67),0)</f>
        <v>0</v>
      </c>
      <c r="K67" s="25">
        <f>Tabla2[[#This Row],[INGRESOS]]-Tabla2[[#This Row],[SALIDAS]]</f>
        <v>0</v>
      </c>
      <c r="L67" s="4" t="s">
        <v>14</v>
      </c>
      <c r="M67" s="38" t="s">
        <v>1</v>
      </c>
    </row>
    <row r="68" spans="1:13" x14ac:dyDescent="0.3">
      <c r="A68" s="22">
        <v>59</v>
      </c>
      <c r="B68" s="24" t="s">
        <v>143</v>
      </c>
      <c r="C68" s="10" t="s">
        <v>142</v>
      </c>
      <c r="D68" s="10" t="s">
        <v>130</v>
      </c>
      <c r="E68" s="10" t="s">
        <v>18</v>
      </c>
      <c r="F68" s="10" t="s">
        <v>131</v>
      </c>
      <c r="G68" s="24" t="s">
        <v>134</v>
      </c>
      <c r="H68" s="18" t="s">
        <v>41</v>
      </c>
      <c r="I68" s="29">
        <f>IFERROR(SUMIFS([1]INGRESOS!$N$2:$N$10022,[1]INGRESOS!$D$2:$D$10022,$B68),0)</f>
        <v>0</v>
      </c>
      <c r="J68" s="12">
        <f>IFERROR(SUMIFS([2]SALIDAS!$N$2:$N$10069,[2]SALIDAS!$D$2:$D$10069,$B68),0)</f>
        <v>0</v>
      </c>
      <c r="K68" s="25">
        <f>Tabla2[[#This Row],[INGRESOS]]-Tabla2[[#This Row],[SALIDAS]]</f>
        <v>0</v>
      </c>
      <c r="L68" s="4" t="s">
        <v>14</v>
      </c>
      <c r="M68" s="38" t="s">
        <v>1</v>
      </c>
    </row>
    <row r="69" spans="1:13" x14ac:dyDescent="0.3">
      <c r="A69" s="22">
        <v>60</v>
      </c>
      <c r="B69" s="24" t="s">
        <v>144</v>
      </c>
      <c r="C69" s="10" t="s">
        <v>142</v>
      </c>
      <c r="D69" s="10" t="s">
        <v>130</v>
      </c>
      <c r="E69" s="10" t="s">
        <v>18</v>
      </c>
      <c r="F69" s="10" t="s">
        <v>131</v>
      </c>
      <c r="G69" s="24" t="s">
        <v>145</v>
      </c>
      <c r="H69" s="18" t="s">
        <v>41</v>
      </c>
      <c r="I69" s="29">
        <f>IFERROR(SUMIFS([1]INGRESOS!$N$2:$N$10022,[1]INGRESOS!$D$2:$D$10022,$B69),0)</f>
        <v>0</v>
      </c>
      <c r="J69" s="12">
        <f>IFERROR(SUMIFS([2]SALIDAS!$N$2:$N$10069,[2]SALIDAS!$D$2:$D$10069,$B69),0)</f>
        <v>0</v>
      </c>
      <c r="K69" s="25">
        <f>Tabla2[[#This Row],[INGRESOS]]-Tabla2[[#This Row],[SALIDAS]]</f>
        <v>0</v>
      </c>
      <c r="L69" s="3" t="s">
        <v>14</v>
      </c>
      <c r="M69" s="38" t="s">
        <v>1</v>
      </c>
    </row>
    <row r="70" spans="1:13" x14ac:dyDescent="0.3">
      <c r="A70" s="22">
        <v>61</v>
      </c>
      <c r="B70" s="24" t="s">
        <v>146</v>
      </c>
      <c r="C70" s="10" t="s">
        <v>142</v>
      </c>
      <c r="D70" s="10" t="s">
        <v>96</v>
      </c>
      <c r="E70" s="10" t="s">
        <v>18</v>
      </c>
      <c r="F70" s="10" t="s">
        <v>131</v>
      </c>
      <c r="G70" s="24" t="s">
        <v>147</v>
      </c>
      <c r="H70" s="18" t="s">
        <v>41</v>
      </c>
      <c r="I70" s="29">
        <f>IFERROR(SUMIFS([1]INGRESOS!$N$2:$N$10022,[1]INGRESOS!$D$2:$D$10022,$B70),0)</f>
        <v>0</v>
      </c>
      <c r="J70" s="12">
        <f>IFERROR(SUMIFS([2]SALIDAS!$N$2:$N$10069,[2]SALIDAS!$D$2:$D$10069,$B70),0)</f>
        <v>0</v>
      </c>
      <c r="K70" s="25">
        <f>Tabla2[[#This Row],[INGRESOS]]-Tabla2[[#This Row],[SALIDAS]]</f>
        <v>0</v>
      </c>
      <c r="L70" s="3" t="s">
        <v>14</v>
      </c>
      <c r="M70" s="39" t="s">
        <v>294</v>
      </c>
    </row>
    <row r="71" spans="1:13" x14ac:dyDescent="0.3">
      <c r="A71" s="22">
        <v>62</v>
      </c>
      <c r="B71" s="24" t="s">
        <v>148</v>
      </c>
      <c r="C71" s="10" t="s">
        <v>142</v>
      </c>
      <c r="D71" s="10" t="s">
        <v>96</v>
      </c>
      <c r="E71" s="10" t="s">
        <v>18</v>
      </c>
      <c r="F71" s="10" t="s">
        <v>131</v>
      </c>
      <c r="G71" s="24" t="s">
        <v>149</v>
      </c>
      <c r="H71" s="18" t="s">
        <v>41</v>
      </c>
      <c r="I71" s="29">
        <f>IFERROR(SUMIFS([1]INGRESOS!$N$2:$N$10022,[1]INGRESOS!$D$2:$D$10022,$B71),0)</f>
        <v>0</v>
      </c>
      <c r="J71" s="12">
        <f>IFERROR(SUMIFS([2]SALIDAS!$N$2:$N$10069,[2]SALIDAS!$D$2:$D$10069,$B71),0)</f>
        <v>0</v>
      </c>
      <c r="K71" s="25">
        <f>Tabla2[[#This Row],[INGRESOS]]-Tabla2[[#This Row],[SALIDAS]]</f>
        <v>0</v>
      </c>
      <c r="L71" s="3" t="s">
        <v>14</v>
      </c>
      <c r="M71" s="38" t="s">
        <v>1</v>
      </c>
    </row>
    <row r="72" spans="1:13" x14ac:dyDescent="0.3">
      <c r="A72" s="22">
        <v>63</v>
      </c>
      <c r="B72" s="24" t="s">
        <v>150</v>
      </c>
      <c r="C72" s="10" t="s">
        <v>151</v>
      </c>
      <c r="D72" s="10" t="s">
        <v>130</v>
      </c>
      <c r="E72" s="10" t="s">
        <v>18</v>
      </c>
      <c r="F72" s="10" t="s">
        <v>131</v>
      </c>
      <c r="G72" s="24" t="s">
        <v>152</v>
      </c>
      <c r="H72" s="18" t="s">
        <v>41</v>
      </c>
      <c r="I72" s="29">
        <f>IFERROR(SUMIFS([1]INGRESOS!$N$2:$N$10022,[1]INGRESOS!$D$2:$D$10022,$B72),0)</f>
        <v>0</v>
      </c>
      <c r="J72" s="12">
        <f>IFERROR(SUMIFS([2]SALIDAS!$N$2:$N$10069,[2]SALIDAS!$D$2:$D$10069,$B72),0)</f>
        <v>0</v>
      </c>
      <c r="K72" s="25">
        <f>Tabla2[[#This Row],[INGRESOS]]-Tabla2[[#This Row],[SALIDAS]]</f>
        <v>0</v>
      </c>
      <c r="L72" s="3" t="s">
        <v>14</v>
      </c>
      <c r="M72" s="38" t="s">
        <v>1</v>
      </c>
    </row>
    <row r="73" spans="1:13" x14ac:dyDescent="0.3">
      <c r="A73" s="22">
        <v>64</v>
      </c>
      <c r="B73" s="24" t="s">
        <v>153</v>
      </c>
      <c r="C73" s="10" t="s">
        <v>151</v>
      </c>
      <c r="D73" s="10" t="s">
        <v>154</v>
      </c>
      <c r="E73" s="10" t="s">
        <v>18</v>
      </c>
      <c r="F73" s="10" t="s">
        <v>19</v>
      </c>
      <c r="G73" s="24" t="s">
        <v>155</v>
      </c>
      <c r="H73" s="18" t="s">
        <v>41</v>
      </c>
      <c r="I73" s="29">
        <f>IFERROR(SUMIFS([1]INGRESOS!$N$2:$N$10022,[1]INGRESOS!$D$2:$D$10022,$B73),0)</f>
        <v>0</v>
      </c>
      <c r="J73" s="12">
        <f>IFERROR(SUMIFS([2]SALIDAS!$N$2:$N$10069,[2]SALIDAS!$D$2:$D$10069,$B73),0)</f>
        <v>0</v>
      </c>
      <c r="K73" s="25">
        <f>Tabla2[[#This Row],[INGRESOS]]-Tabla2[[#This Row],[SALIDAS]]</f>
        <v>0</v>
      </c>
      <c r="L73" s="3" t="s">
        <v>14</v>
      </c>
      <c r="M73" s="38" t="s">
        <v>1</v>
      </c>
    </row>
    <row r="74" spans="1:13" x14ac:dyDescent="0.3">
      <c r="A74" s="22">
        <v>65</v>
      </c>
      <c r="B74" s="24" t="s">
        <v>156</v>
      </c>
      <c r="C74" s="10" t="s">
        <v>157</v>
      </c>
      <c r="D74" s="10" t="s">
        <v>158</v>
      </c>
      <c r="E74" s="10" t="s">
        <v>18</v>
      </c>
      <c r="F74" s="10" t="s">
        <v>39</v>
      </c>
      <c r="G74" s="24" t="s">
        <v>159</v>
      </c>
      <c r="H74" s="18" t="s">
        <v>41</v>
      </c>
      <c r="I74" s="29">
        <f>IFERROR(SUMIFS([1]INGRESOS!$N$2:$N$10022,[1]INGRESOS!$D$2:$D$10022,$B74),0)</f>
        <v>0</v>
      </c>
      <c r="J74" s="12">
        <f>IFERROR(SUMIFS([2]SALIDAS!$N$2:$N$10069,[2]SALIDAS!$D$2:$D$10069,$B74),0)</f>
        <v>0</v>
      </c>
      <c r="K74" s="25">
        <f>Tabla2[[#This Row],[INGRESOS]]-Tabla2[[#This Row],[SALIDAS]]</f>
        <v>0</v>
      </c>
      <c r="L74" s="4" t="s">
        <v>14</v>
      </c>
      <c r="M74" s="38" t="s">
        <v>1</v>
      </c>
    </row>
    <row r="75" spans="1:13" x14ac:dyDescent="0.3">
      <c r="A75" s="22">
        <v>66</v>
      </c>
      <c r="B75" s="24" t="s">
        <v>160</v>
      </c>
      <c r="C75" s="10" t="s">
        <v>157</v>
      </c>
      <c r="D75" s="10" t="s">
        <v>158</v>
      </c>
      <c r="E75" s="10" t="s">
        <v>18</v>
      </c>
      <c r="F75" s="10" t="s">
        <v>39</v>
      </c>
      <c r="G75" s="24" t="s">
        <v>161</v>
      </c>
      <c r="H75" s="18" t="s">
        <v>41</v>
      </c>
      <c r="I75" s="29">
        <f>IFERROR(SUMIFS([1]INGRESOS!$N$2:$N$10022,[1]INGRESOS!$D$2:$D$10022,$B75),0)</f>
        <v>0</v>
      </c>
      <c r="J75" s="12">
        <f>IFERROR(SUMIFS([2]SALIDAS!$N$2:$N$10069,[2]SALIDAS!$D$2:$D$10069,$B75),0)</f>
        <v>0</v>
      </c>
      <c r="K75" s="25">
        <f>Tabla2[[#This Row],[INGRESOS]]-Tabla2[[#This Row],[SALIDAS]]</f>
        <v>0</v>
      </c>
      <c r="L75" s="4" t="s">
        <v>14</v>
      </c>
      <c r="M75" s="39" t="s">
        <v>294</v>
      </c>
    </row>
    <row r="76" spans="1:13" x14ac:dyDescent="0.3">
      <c r="A76" s="22">
        <v>67</v>
      </c>
      <c r="B76" s="24" t="s">
        <v>162</v>
      </c>
      <c r="C76" s="10" t="s">
        <v>157</v>
      </c>
      <c r="D76" s="10" t="s">
        <v>158</v>
      </c>
      <c r="E76" s="10" t="s">
        <v>18</v>
      </c>
      <c r="F76" s="10" t="s">
        <v>39</v>
      </c>
      <c r="G76" s="24" t="s">
        <v>163</v>
      </c>
      <c r="H76" s="18" t="s">
        <v>41</v>
      </c>
      <c r="I76" s="29">
        <f>IFERROR(SUMIFS([1]INGRESOS!$N$2:$N$10022,[1]INGRESOS!$D$2:$D$10022,$B76),0)</f>
        <v>0</v>
      </c>
      <c r="J76" s="12">
        <f>IFERROR(SUMIFS([2]SALIDAS!$N$2:$N$10069,[2]SALIDAS!$D$2:$D$10069,$B76),0)</f>
        <v>0</v>
      </c>
      <c r="K76" s="25">
        <f>Tabla2[[#This Row],[INGRESOS]]-Tabla2[[#This Row],[SALIDAS]]</f>
        <v>0</v>
      </c>
      <c r="L76" s="3" t="s">
        <v>14</v>
      </c>
      <c r="M76" s="39" t="s">
        <v>294</v>
      </c>
    </row>
    <row r="77" spans="1:13" x14ac:dyDescent="0.3">
      <c r="A77" s="22">
        <v>68</v>
      </c>
      <c r="B77" s="24" t="s">
        <v>164</v>
      </c>
      <c r="C77" s="10" t="s">
        <v>165</v>
      </c>
      <c r="D77" s="10" t="s">
        <v>166</v>
      </c>
      <c r="E77" s="10" t="s">
        <v>18</v>
      </c>
      <c r="F77" s="10" t="s">
        <v>39</v>
      </c>
      <c r="G77" s="24" t="s">
        <v>167</v>
      </c>
      <c r="H77" s="18" t="s">
        <v>41</v>
      </c>
      <c r="I77" s="29">
        <f>IFERROR(SUMIFS([1]INGRESOS!$N$2:$N$10022,[1]INGRESOS!$D$2:$D$10022,$B77),0)</f>
        <v>0</v>
      </c>
      <c r="J77" s="12">
        <f>IFERROR(SUMIFS([2]SALIDAS!$N$2:$N$10069,[2]SALIDAS!$D$2:$D$10069,$B77),0)</f>
        <v>0</v>
      </c>
      <c r="K77" s="25">
        <f>Tabla2[[#This Row],[INGRESOS]]-Tabla2[[#This Row],[SALIDAS]]</f>
        <v>0</v>
      </c>
      <c r="L77" s="4" t="s">
        <v>14</v>
      </c>
      <c r="M77" s="38" t="s">
        <v>1</v>
      </c>
    </row>
    <row r="78" spans="1:13" x14ac:dyDescent="0.3">
      <c r="A78" s="22">
        <v>69</v>
      </c>
      <c r="B78" s="24" t="s">
        <v>168</v>
      </c>
      <c r="C78" s="10" t="s">
        <v>165</v>
      </c>
      <c r="D78" s="10" t="s">
        <v>166</v>
      </c>
      <c r="E78" s="10" t="s">
        <v>18</v>
      </c>
      <c r="F78" s="10" t="s">
        <v>19</v>
      </c>
      <c r="G78" s="24" t="s">
        <v>169</v>
      </c>
      <c r="H78" s="18" t="s">
        <v>41</v>
      </c>
      <c r="I78" s="29">
        <f>IFERROR(SUMIFS([1]INGRESOS!$N$2:$N$10022,[1]INGRESOS!$D$2:$D$10022,$B78),0)</f>
        <v>0</v>
      </c>
      <c r="J78" s="12">
        <f>IFERROR(SUMIFS([2]SALIDAS!$N$2:$N$10069,[2]SALIDAS!$D$2:$D$10069,$B78),0)</f>
        <v>0</v>
      </c>
      <c r="K78" s="25">
        <f>Tabla2[[#This Row],[INGRESOS]]-Tabla2[[#This Row],[SALIDAS]]</f>
        <v>0</v>
      </c>
      <c r="L78" s="3" t="s">
        <v>14</v>
      </c>
      <c r="M78" s="38" t="s">
        <v>1</v>
      </c>
    </row>
    <row r="79" spans="1:13" x14ac:dyDescent="0.3">
      <c r="A79" s="22">
        <v>70</v>
      </c>
      <c r="B79" s="24" t="s">
        <v>170</v>
      </c>
      <c r="C79" s="10" t="s">
        <v>165</v>
      </c>
      <c r="D79" s="10" t="s">
        <v>158</v>
      </c>
      <c r="E79" s="10" t="s">
        <v>18</v>
      </c>
      <c r="F79" s="10" t="s">
        <v>39</v>
      </c>
      <c r="G79" s="24" t="s">
        <v>171</v>
      </c>
      <c r="H79" s="18" t="s">
        <v>41</v>
      </c>
      <c r="I79" s="29">
        <f>IFERROR(SUMIFS([1]INGRESOS!$N$2:$N$10022,[1]INGRESOS!$D$2:$D$10022,$B79),0)</f>
        <v>0</v>
      </c>
      <c r="J79" s="12">
        <f>IFERROR(SUMIFS([2]SALIDAS!$N$2:$N$10069,[2]SALIDAS!$D$2:$D$10069,$B79),0)</f>
        <v>0</v>
      </c>
      <c r="K79" s="25">
        <f>Tabla2[[#This Row],[INGRESOS]]-Tabla2[[#This Row],[SALIDAS]]</f>
        <v>0</v>
      </c>
      <c r="L79" s="3" t="s">
        <v>14</v>
      </c>
      <c r="M79" s="39" t="s">
        <v>294</v>
      </c>
    </row>
    <row r="80" spans="1:13" x14ac:dyDescent="0.3">
      <c r="A80" s="22">
        <v>71</v>
      </c>
      <c r="B80" s="24" t="s">
        <v>172</v>
      </c>
      <c r="C80" s="10" t="s">
        <v>165</v>
      </c>
      <c r="D80" s="10" t="s">
        <v>158</v>
      </c>
      <c r="E80" s="10" t="s">
        <v>18</v>
      </c>
      <c r="F80" s="10" t="s">
        <v>39</v>
      </c>
      <c r="G80" s="24" t="s">
        <v>169</v>
      </c>
      <c r="H80" s="18" t="s">
        <v>41</v>
      </c>
      <c r="I80" s="29">
        <f>IFERROR(SUMIFS([1]INGRESOS!$N$2:$N$10022,[1]INGRESOS!$D$2:$D$10022,$B80),0)</f>
        <v>0</v>
      </c>
      <c r="J80" s="12">
        <f>IFERROR(SUMIFS([2]SALIDAS!$N$2:$N$10069,[2]SALIDAS!$D$2:$D$10069,$B80),0)</f>
        <v>0</v>
      </c>
      <c r="K80" s="25">
        <f>Tabla2[[#This Row],[INGRESOS]]-Tabla2[[#This Row],[SALIDAS]]</f>
        <v>0</v>
      </c>
      <c r="L80" s="3" t="s">
        <v>14</v>
      </c>
      <c r="M80" s="39" t="s">
        <v>294</v>
      </c>
    </row>
    <row r="81" spans="1:13" x14ac:dyDescent="0.3">
      <c r="A81" s="22">
        <v>72</v>
      </c>
      <c r="B81" s="24" t="s">
        <v>173</v>
      </c>
      <c r="C81" s="10" t="s">
        <v>165</v>
      </c>
      <c r="D81" s="10" t="s">
        <v>158</v>
      </c>
      <c r="E81" s="10" t="s">
        <v>18</v>
      </c>
      <c r="F81" s="10" t="s">
        <v>39</v>
      </c>
      <c r="G81" s="24" t="s">
        <v>159</v>
      </c>
      <c r="H81" s="18" t="s">
        <v>41</v>
      </c>
      <c r="I81" s="29">
        <f>IFERROR(SUMIFS([1]INGRESOS!$N$2:$N$10022,[1]INGRESOS!$D$2:$D$10022,$B81),0)</f>
        <v>0</v>
      </c>
      <c r="J81" s="12">
        <f>IFERROR(SUMIFS([2]SALIDAS!$N$2:$N$10069,[2]SALIDAS!$D$2:$D$10069,$B81),0)</f>
        <v>0</v>
      </c>
      <c r="K81" s="25">
        <f>Tabla2[[#This Row],[INGRESOS]]-Tabla2[[#This Row],[SALIDAS]]</f>
        <v>0</v>
      </c>
      <c r="L81" s="3" t="s">
        <v>14</v>
      </c>
      <c r="M81" s="39" t="s">
        <v>294</v>
      </c>
    </row>
    <row r="82" spans="1:13" x14ac:dyDescent="0.3">
      <c r="A82" s="22">
        <v>73</v>
      </c>
      <c r="B82" s="24" t="s">
        <v>174</v>
      </c>
      <c r="C82" s="10" t="s">
        <v>165</v>
      </c>
      <c r="D82" s="10" t="s">
        <v>158</v>
      </c>
      <c r="E82" s="10" t="s">
        <v>18</v>
      </c>
      <c r="F82" s="10" t="s">
        <v>39</v>
      </c>
      <c r="G82" s="24" t="s">
        <v>161</v>
      </c>
      <c r="H82" s="18" t="s">
        <v>41</v>
      </c>
      <c r="I82" s="29">
        <f>IFERROR(SUMIFS([1]INGRESOS!$N$2:$N$10022,[1]INGRESOS!$D$2:$D$10022,$B82),0)</f>
        <v>0</v>
      </c>
      <c r="J82" s="12">
        <f>IFERROR(SUMIFS([2]SALIDAS!$N$2:$N$10069,[2]SALIDAS!$D$2:$D$10069,$B82),0)</f>
        <v>0</v>
      </c>
      <c r="K82" s="25">
        <f>Tabla2[[#This Row],[INGRESOS]]-Tabla2[[#This Row],[SALIDAS]]</f>
        <v>0</v>
      </c>
      <c r="L82" s="3" t="s">
        <v>14</v>
      </c>
      <c r="M82" s="39" t="s">
        <v>294</v>
      </c>
    </row>
    <row r="83" spans="1:13" x14ac:dyDescent="0.3">
      <c r="A83" s="22">
        <v>74</v>
      </c>
      <c r="B83" s="24" t="s">
        <v>175</v>
      </c>
      <c r="C83" s="10" t="s">
        <v>165</v>
      </c>
      <c r="D83" s="10" t="s">
        <v>158</v>
      </c>
      <c r="E83" s="10" t="s">
        <v>18</v>
      </c>
      <c r="F83" s="10" t="s">
        <v>39</v>
      </c>
      <c r="G83" s="24" t="s">
        <v>163</v>
      </c>
      <c r="H83" s="18" t="s">
        <v>41</v>
      </c>
      <c r="I83" s="29">
        <f>IFERROR(SUMIFS([1]INGRESOS!$N$2:$N$10022,[1]INGRESOS!$D$2:$D$10022,$B83),0)</f>
        <v>0</v>
      </c>
      <c r="J83" s="12">
        <f>IFERROR(SUMIFS([2]SALIDAS!$N$2:$N$10069,[2]SALIDAS!$D$2:$D$10069,$B83),0)</f>
        <v>0</v>
      </c>
      <c r="K83" s="25">
        <f>Tabla2[[#This Row],[INGRESOS]]-Tabla2[[#This Row],[SALIDAS]]</f>
        <v>0</v>
      </c>
      <c r="L83" s="4" t="s">
        <v>14</v>
      </c>
      <c r="M83" s="39" t="s">
        <v>294</v>
      </c>
    </row>
    <row r="84" spans="1:13" x14ac:dyDescent="0.3">
      <c r="A84" s="22">
        <v>75</v>
      </c>
      <c r="B84" s="24" t="s">
        <v>176</v>
      </c>
      <c r="C84" s="10" t="s">
        <v>165</v>
      </c>
      <c r="D84" s="10" t="s">
        <v>158</v>
      </c>
      <c r="E84" s="10" t="s">
        <v>18</v>
      </c>
      <c r="F84" s="10" t="s">
        <v>39</v>
      </c>
      <c r="G84" s="24" t="s">
        <v>177</v>
      </c>
      <c r="H84" s="18" t="s">
        <v>41</v>
      </c>
      <c r="I84" s="29">
        <f>IFERROR(SUMIFS([1]INGRESOS!$N$2:$N$10022,[1]INGRESOS!$D$2:$D$10022,$B84),0)</f>
        <v>0</v>
      </c>
      <c r="J84" s="12">
        <f>IFERROR(SUMIFS([2]SALIDAS!$N$2:$N$10069,[2]SALIDAS!$D$2:$D$10069,$B84),0)</f>
        <v>0</v>
      </c>
      <c r="K84" s="25">
        <f>Tabla2[[#This Row],[INGRESOS]]-Tabla2[[#This Row],[SALIDAS]]</f>
        <v>0</v>
      </c>
      <c r="L84" s="4" t="s">
        <v>14</v>
      </c>
      <c r="M84" s="38" t="s">
        <v>1</v>
      </c>
    </row>
    <row r="85" spans="1:13" x14ac:dyDescent="0.3">
      <c r="A85" s="22">
        <v>76</v>
      </c>
      <c r="B85" s="24" t="s">
        <v>178</v>
      </c>
      <c r="C85" s="10" t="s">
        <v>165</v>
      </c>
      <c r="D85" s="10" t="s">
        <v>113</v>
      </c>
      <c r="E85" s="10" t="s">
        <v>18</v>
      </c>
      <c r="F85" s="10" t="s">
        <v>131</v>
      </c>
      <c r="G85" s="24" t="s">
        <v>169</v>
      </c>
      <c r="H85" s="18" t="s">
        <v>41</v>
      </c>
      <c r="I85" s="29">
        <f>IFERROR(SUMIFS([1]INGRESOS!$N$2:$N$10022,[1]INGRESOS!$D$2:$D$10022,$B85),0)</f>
        <v>0</v>
      </c>
      <c r="J85" s="12">
        <f>IFERROR(SUMIFS([2]SALIDAS!$N$2:$N$10069,[2]SALIDAS!$D$2:$D$10069,$B85),0)</f>
        <v>0</v>
      </c>
      <c r="K85" s="25">
        <f>Tabla2[[#This Row],[INGRESOS]]-Tabla2[[#This Row],[SALIDAS]]</f>
        <v>0</v>
      </c>
      <c r="L85" s="3" t="s">
        <v>14</v>
      </c>
      <c r="M85" s="38" t="s">
        <v>1</v>
      </c>
    </row>
    <row r="86" spans="1:13" x14ac:dyDescent="0.3">
      <c r="A86" s="22">
        <v>77</v>
      </c>
      <c r="B86" s="24" t="s">
        <v>179</v>
      </c>
      <c r="C86" s="10" t="s">
        <v>165</v>
      </c>
      <c r="D86" s="10" t="s">
        <v>180</v>
      </c>
      <c r="E86" s="10" t="s">
        <v>18</v>
      </c>
      <c r="F86" s="10" t="s">
        <v>119</v>
      </c>
      <c r="G86" s="24" t="s">
        <v>181</v>
      </c>
      <c r="H86" s="18" t="s">
        <v>41</v>
      </c>
      <c r="I86" s="29">
        <f>IFERROR(SUMIFS([1]INGRESOS!$N$2:$N$10022,[1]INGRESOS!$D$2:$D$10022,$B86),0)</f>
        <v>0</v>
      </c>
      <c r="J86" s="12">
        <f>IFERROR(SUMIFS([2]SALIDAS!$N$2:$N$10069,[2]SALIDAS!$D$2:$D$10069,$B86),0)</f>
        <v>0</v>
      </c>
      <c r="K86" s="25">
        <f>Tabla2[[#This Row],[INGRESOS]]-Tabla2[[#This Row],[SALIDAS]]</f>
        <v>0</v>
      </c>
      <c r="L86" s="3" t="s">
        <v>14</v>
      </c>
      <c r="M86" s="38" t="s">
        <v>1</v>
      </c>
    </row>
    <row r="87" spans="1:13" x14ac:dyDescent="0.3">
      <c r="A87" s="22">
        <v>78</v>
      </c>
      <c r="B87" s="24" t="s">
        <v>182</v>
      </c>
      <c r="C87" s="10" t="s">
        <v>165</v>
      </c>
      <c r="D87" s="10" t="s">
        <v>183</v>
      </c>
      <c r="E87" s="10" t="s">
        <v>18</v>
      </c>
      <c r="F87" s="10" t="s">
        <v>119</v>
      </c>
      <c r="G87" s="24" t="s">
        <v>163</v>
      </c>
      <c r="H87" s="18" t="s">
        <v>41</v>
      </c>
      <c r="I87" s="29">
        <f>IFERROR(SUMIFS([1]INGRESOS!$N$2:$N$10022,[1]INGRESOS!$D$2:$D$10022,$B87),0)</f>
        <v>0</v>
      </c>
      <c r="J87" s="12">
        <f>IFERROR(SUMIFS([2]SALIDAS!$N$2:$N$10069,[2]SALIDAS!$D$2:$D$10069,$B87),0)</f>
        <v>0</v>
      </c>
      <c r="K87" s="25">
        <f>Tabla2[[#This Row],[INGRESOS]]-Tabla2[[#This Row],[SALIDAS]]</f>
        <v>0</v>
      </c>
      <c r="L87" s="3" t="s">
        <v>14</v>
      </c>
      <c r="M87" s="39" t="s">
        <v>294</v>
      </c>
    </row>
    <row r="88" spans="1:13" x14ac:dyDescent="0.3">
      <c r="A88" s="22">
        <v>79</v>
      </c>
      <c r="B88" s="24" t="s">
        <v>184</v>
      </c>
      <c r="C88" s="10" t="s">
        <v>165</v>
      </c>
      <c r="D88" s="10" t="s">
        <v>185</v>
      </c>
      <c r="E88" s="10" t="s">
        <v>18</v>
      </c>
      <c r="F88" s="10" t="s">
        <v>119</v>
      </c>
      <c r="G88" s="24" t="s">
        <v>186</v>
      </c>
      <c r="H88" s="18" t="s">
        <v>41</v>
      </c>
      <c r="I88" s="29">
        <f>IFERROR(SUMIFS([1]INGRESOS!$N$2:$N$10022,[1]INGRESOS!$D$2:$D$10022,$B88),0)</f>
        <v>0</v>
      </c>
      <c r="J88" s="12">
        <f>IFERROR(SUMIFS([2]SALIDAS!$N$2:$N$10069,[2]SALIDAS!$D$2:$D$10069,$B88),0)</f>
        <v>0</v>
      </c>
      <c r="K88" s="25">
        <f>Tabla2[[#This Row],[INGRESOS]]-Tabla2[[#This Row],[SALIDAS]]</f>
        <v>0</v>
      </c>
      <c r="L88" s="3" t="s">
        <v>14</v>
      </c>
      <c r="M88" s="38" t="s">
        <v>1</v>
      </c>
    </row>
    <row r="89" spans="1:13" x14ac:dyDescent="0.3">
      <c r="A89" s="22">
        <v>80</v>
      </c>
      <c r="B89" s="24" t="s">
        <v>187</v>
      </c>
      <c r="C89" s="10" t="s">
        <v>165</v>
      </c>
      <c r="D89" s="10" t="s">
        <v>185</v>
      </c>
      <c r="E89" s="10" t="s">
        <v>18</v>
      </c>
      <c r="F89" s="10" t="s">
        <v>119</v>
      </c>
      <c r="G89" s="24" t="s">
        <v>188</v>
      </c>
      <c r="H89" s="18" t="s">
        <v>41</v>
      </c>
      <c r="I89" s="29">
        <f>IFERROR(SUMIFS([1]INGRESOS!$N$2:$N$10022,[1]INGRESOS!$D$2:$D$10022,$B89),0)</f>
        <v>0</v>
      </c>
      <c r="J89" s="12">
        <f>IFERROR(SUMIFS([2]SALIDAS!$N$2:$N$10069,[2]SALIDAS!$D$2:$D$10069,$B89),0)</f>
        <v>0</v>
      </c>
      <c r="K89" s="25">
        <f>Tabla2[[#This Row],[INGRESOS]]-Tabla2[[#This Row],[SALIDAS]]</f>
        <v>0</v>
      </c>
      <c r="L89" s="3" t="s">
        <v>14</v>
      </c>
      <c r="M89" s="38" t="s">
        <v>1</v>
      </c>
    </row>
    <row r="90" spans="1:13" x14ac:dyDescent="0.3">
      <c r="A90" s="22">
        <v>81</v>
      </c>
      <c r="B90" s="24" t="s">
        <v>189</v>
      </c>
      <c r="C90" s="10" t="s">
        <v>165</v>
      </c>
      <c r="D90" s="10" t="s">
        <v>185</v>
      </c>
      <c r="E90" s="10" t="s">
        <v>18</v>
      </c>
      <c r="F90" s="10" t="s">
        <v>119</v>
      </c>
      <c r="G90" s="24" t="s">
        <v>177</v>
      </c>
      <c r="H90" s="18" t="s">
        <v>41</v>
      </c>
      <c r="I90" s="29">
        <f>IFERROR(SUMIFS([1]INGRESOS!$N$2:$N$10022,[1]INGRESOS!$D$2:$D$10022,$B90),0)</f>
        <v>0</v>
      </c>
      <c r="J90" s="12">
        <f>IFERROR(SUMIFS([2]SALIDAS!$N$2:$N$10069,[2]SALIDAS!$D$2:$D$10069,$B90),0)</f>
        <v>0</v>
      </c>
      <c r="K90" s="25">
        <f>Tabla2[[#This Row],[INGRESOS]]-Tabla2[[#This Row],[SALIDAS]]</f>
        <v>0</v>
      </c>
      <c r="L90" s="3" t="s">
        <v>14</v>
      </c>
      <c r="M90" s="38" t="s">
        <v>1</v>
      </c>
    </row>
    <row r="91" spans="1:13" x14ac:dyDescent="0.3">
      <c r="A91" s="22">
        <v>82</v>
      </c>
      <c r="B91" s="24" t="s">
        <v>190</v>
      </c>
      <c r="C91" s="10" t="s">
        <v>165</v>
      </c>
      <c r="D91" s="10" t="s">
        <v>185</v>
      </c>
      <c r="E91" s="10" t="s">
        <v>18</v>
      </c>
      <c r="F91" s="10" t="s">
        <v>119</v>
      </c>
      <c r="G91" s="24" t="s">
        <v>191</v>
      </c>
      <c r="H91" s="18" t="s">
        <v>41</v>
      </c>
      <c r="I91" s="29">
        <f>IFERROR(SUMIFS([1]INGRESOS!$N$2:$N$10022,[1]INGRESOS!$D$2:$D$10022,$B91),0)</f>
        <v>0</v>
      </c>
      <c r="J91" s="12">
        <f>IFERROR(SUMIFS([2]SALIDAS!$N$2:$N$10069,[2]SALIDAS!$D$2:$D$10069,$B91),0)</f>
        <v>0</v>
      </c>
      <c r="K91" s="25">
        <f>Tabla2[[#This Row],[INGRESOS]]-Tabla2[[#This Row],[SALIDAS]]</f>
        <v>0</v>
      </c>
      <c r="L91" s="4" t="s">
        <v>14</v>
      </c>
      <c r="M91" s="38" t="s">
        <v>1</v>
      </c>
    </row>
    <row r="92" spans="1:13" x14ac:dyDescent="0.3">
      <c r="A92" s="22">
        <v>83</v>
      </c>
      <c r="B92" s="24" t="s">
        <v>192</v>
      </c>
      <c r="C92" s="10" t="s">
        <v>165</v>
      </c>
      <c r="D92" s="10" t="s">
        <v>193</v>
      </c>
      <c r="E92" s="10" t="s">
        <v>18</v>
      </c>
      <c r="F92" s="10" t="s">
        <v>119</v>
      </c>
      <c r="G92" s="24" t="s">
        <v>177</v>
      </c>
      <c r="H92" s="18" t="s">
        <v>41</v>
      </c>
      <c r="I92" s="29">
        <f>IFERROR(SUMIFS([1]INGRESOS!$N$2:$N$10022,[1]INGRESOS!$D$2:$D$10022,$B92),0)</f>
        <v>0</v>
      </c>
      <c r="J92" s="12">
        <f>IFERROR(SUMIFS([2]SALIDAS!$N$2:$N$10069,[2]SALIDAS!$D$2:$D$10069,$B92),0)</f>
        <v>0</v>
      </c>
      <c r="K92" s="25">
        <f>Tabla2[[#This Row],[INGRESOS]]-Tabla2[[#This Row],[SALIDAS]]</f>
        <v>0</v>
      </c>
      <c r="L92" s="4" t="s">
        <v>14</v>
      </c>
      <c r="M92" s="39" t="s">
        <v>294</v>
      </c>
    </row>
    <row r="93" spans="1:13" x14ac:dyDescent="0.3">
      <c r="A93" s="22">
        <v>84</v>
      </c>
      <c r="B93" s="24" t="s">
        <v>194</v>
      </c>
      <c r="C93" s="10" t="s">
        <v>165</v>
      </c>
      <c r="D93" s="10" t="s">
        <v>193</v>
      </c>
      <c r="E93" s="10" t="s">
        <v>18</v>
      </c>
      <c r="F93" s="10" t="s">
        <v>119</v>
      </c>
      <c r="G93" s="24" t="s">
        <v>191</v>
      </c>
      <c r="H93" s="18" t="s">
        <v>41</v>
      </c>
      <c r="I93" s="29">
        <f>IFERROR(SUMIFS([1]INGRESOS!$N$2:$N$10022,[1]INGRESOS!$D$2:$D$10022,$B93),0)</f>
        <v>0</v>
      </c>
      <c r="J93" s="12">
        <f>IFERROR(SUMIFS([2]SALIDAS!$N$2:$N$10069,[2]SALIDAS!$D$2:$D$10069,$B93),0)</f>
        <v>0</v>
      </c>
      <c r="K93" s="25">
        <f>Tabla2[[#This Row],[INGRESOS]]-Tabla2[[#This Row],[SALIDAS]]</f>
        <v>0</v>
      </c>
      <c r="L93" s="3" t="s">
        <v>14</v>
      </c>
      <c r="M93" s="39" t="s">
        <v>294</v>
      </c>
    </row>
    <row r="94" spans="1:13" x14ac:dyDescent="0.3">
      <c r="A94" s="22">
        <v>85</v>
      </c>
      <c r="B94" s="24" t="s">
        <v>195</v>
      </c>
      <c r="C94" s="10" t="s">
        <v>196</v>
      </c>
      <c r="D94" s="10" t="s">
        <v>166</v>
      </c>
      <c r="E94" s="10" t="s">
        <v>18</v>
      </c>
      <c r="F94" s="10" t="s">
        <v>39</v>
      </c>
      <c r="G94" s="24" t="s">
        <v>120</v>
      </c>
      <c r="H94" s="18" t="s">
        <v>41</v>
      </c>
      <c r="I94" s="29">
        <f>IFERROR(SUMIFS([1]INGRESOS!$N$2:$N$10022,[1]INGRESOS!$D$2:$D$10022,$B94),0)</f>
        <v>0</v>
      </c>
      <c r="J94" s="12">
        <f>IFERROR(SUMIFS([2]SALIDAS!$N$2:$N$10069,[2]SALIDAS!$D$2:$D$10069,$B94),0)</f>
        <v>0</v>
      </c>
      <c r="K94" s="25">
        <f>Tabla2[[#This Row],[INGRESOS]]-Tabla2[[#This Row],[SALIDAS]]</f>
        <v>0</v>
      </c>
      <c r="L94" s="3" t="s">
        <v>14</v>
      </c>
      <c r="M94" s="38" t="s">
        <v>1</v>
      </c>
    </row>
    <row r="95" spans="1:13" x14ac:dyDescent="0.3">
      <c r="A95" s="22">
        <v>86</v>
      </c>
      <c r="B95" s="24" t="s">
        <v>197</v>
      </c>
      <c r="C95" s="10" t="s">
        <v>196</v>
      </c>
      <c r="D95" s="10" t="s">
        <v>198</v>
      </c>
      <c r="E95" s="10" t="s">
        <v>18</v>
      </c>
      <c r="F95" s="10" t="s">
        <v>119</v>
      </c>
      <c r="G95" s="24" t="s">
        <v>181</v>
      </c>
      <c r="H95" s="18" t="s">
        <v>41</v>
      </c>
      <c r="I95" s="29">
        <f>IFERROR(SUMIFS([1]INGRESOS!$N$2:$N$10022,[1]INGRESOS!$D$2:$D$10022,$B95),0)</f>
        <v>0</v>
      </c>
      <c r="J95" s="12">
        <f>IFERROR(SUMIFS([2]SALIDAS!$N$2:$N$10069,[2]SALIDAS!$D$2:$D$10069,$B95),0)</f>
        <v>0</v>
      </c>
      <c r="K95" s="25">
        <f>Tabla2[[#This Row],[INGRESOS]]-Tabla2[[#This Row],[SALIDAS]]</f>
        <v>0</v>
      </c>
      <c r="L95" s="3" t="s">
        <v>14</v>
      </c>
      <c r="M95" s="38" t="s">
        <v>1</v>
      </c>
    </row>
    <row r="96" spans="1:13" x14ac:dyDescent="0.3">
      <c r="A96" s="22">
        <v>87</v>
      </c>
      <c r="B96" s="24" t="s">
        <v>199</v>
      </c>
      <c r="C96" s="10" t="s">
        <v>196</v>
      </c>
      <c r="D96" s="10" t="s">
        <v>198</v>
      </c>
      <c r="E96" s="10" t="s">
        <v>18</v>
      </c>
      <c r="F96" s="10" t="s">
        <v>119</v>
      </c>
      <c r="G96" s="24" t="s">
        <v>163</v>
      </c>
      <c r="H96" s="18" t="s">
        <v>41</v>
      </c>
      <c r="I96" s="29">
        <f>IFERROR(SUMIFS([1]INGRESOS!$N$2:$N$10022,[1]INGRESOS!$D$2:$D$10022,$B96),0)</f>
        <v>0</v>
      </c>
      <c r="J96" s="12">
        <f>IFERROR(SUMIFS([2]SALIDAS!$N$2:$N$10069,[2]SALIDAS!$D$2:$D$10069,$B96),0)</f>
        <v>0</v>
      </c>
      <c r="K96" s="25">
        <f>Tabla2[[#This Row],[INGRESOS]]-Tabla2[[#This Row],[SALIDAS]]</f>
        <v>0</v>
      </c>
      <c r="L96" s="3" t="s">
        <v>14</v>
      </c>
      <c r="M96" s="38" t="s">
        <v>1</v>
      </c>
    </row>
    <row r="97" spans="1:13" x14ac:dyDescent="0.3">
      <c r="A97" s="22">
        <v>88</v>
      </c>
      <c r="B97" s="24" t="s">
        <v>200</v>
      </c>
      <c r="C97" s="10" t="s">
        <v>196</v>
      </c>
      <c r="D97" s="10" t="s">
        <v>198</v>
      </c>
      <c r="E97" s="10" t="s">
        <v>18</v>
      </c>
      <c r="F97" s="10" t="s">
        <v>119</v>
      </c>
      <c r="G97" s="24" t="s">
        <v>177</v>
      </c>
      <c r="H97" s="18" t="s">
        <v>41</v>
      </c>
      <c r="I97" s="29">
        <f>IFERROR(SUMIFS([1]INGRESOS!$N$2:$N$10022,[1]INGRESOS!$D$2:$D$10022,$B97),0)</f>
        <v>0</v>
      </c>
      <c r="J97" s="12">
        <f>IFERROR(SUMIFS([2]SALIDAS!$N$2:$N$10069,[2]SALIDAS!$D$2:$D$10069,$B97),0)</f>
        <v>0</v>
      </c>
      <c r="K97" s="25">
        <f>Tabla2[[#This Row],[INGRESOS]]-Tabla2[[#This Row],[SALIDAS]]</f>
        <v>0</v>
      </c>
      <c r="L97" s="3" t="s">
        <v>14</v>
      </c>
      <c r="M97" s="38" t="s">
        <v>1</v>
      </c>
    </row>
    <row r="98" spans="1:13" x14ac:dyDescent="0.3">
      <c r="A98" s="22">
        <v>89</v>
      </c>
      <c r="B98" s="24" t="s">
        <v>201</v>
      </c>
      <c r="C98" s="10" t="s">
        <v>196</v>
      </c>
      <c r="D98" s="10" t="s">
        <v>185</v>
      </c>
      <c r="E98" s="10" t="s">
        <v>18</v>
      </c>
      <c r="F98" s="10" t="s">
        <v>19</v>
      </c>
      <c r="G98" s="24" t="s">
        <v>202</v>
      </c>
      <c r="H98" s="18" t="s">
        <v>41</v>
      </c>
      <c r="I98" s="29">
        <f>IFERROR(SUMIFS([1]INGRESOS!$N$2:$N$10022,[1]INGRESOS!$D$2:$D$10022,$B98),0)</f>
        <v>0</v>
      </c>
      <c r="J98" s="12">
        <f>IFERROR(SUMIFS([2]SALIDAS!$N$2:$N$10069,[2]SALIDAS!$D$2:$D$10069,$B98),0)</f>
        <v>0</v>
      </c>
      <c r="K98" s="25">
        <f>Tabla2[[#This Row],[INGRESOS]]-Tabla2[[#This Row],[SALIDAS]]</f>
        <v>0</v>
      </c>
      <c r="L98" s="4" t="s">
        <v>14</v>
      </c>
      <c r="M98" s="38" t="s">
        <v>1</v>
      </c>
    </row>
    <row r="99" spans="1:13" x14ac:dyDescent="0.3">
      <c r="A99" s="22">
        <v>90</v>
      </c>
      <c r="B99" s="24" t="s">
        <v>203</v>
      </c>
      <c r="C99" s="10" t="s">
        <v>196</v>
      </c>
      <c r="D99" s="10" t="s">
        <v>185</v>
      </c>
      <c r="E99" s="10" t="s">
        <v>18</v>
      </c>
      <c r="F99" s="10" t="s">
        <v>19</v>
      </c>
      <c r="G99" s="24" t="s">
        <v>204</v>
      </c>
      <c r="H99" s="18" t="s">
        <v>41</v>
      </c>
      <c r="I99" s="29">
        <f>IFERROR(SUMIFS([1]INGRESOS!$N$2:$N$10022,[1]INGRESOS!$D$2:$D$10022,$B99),0)</f>
        <v>0</v>
      </c>
      <c r="J99" s="12">
        <f>IFERROR(SUMIFS([2]SALIDAS!$N$2:$N$10069,[2]SALIDAS!$D$2:$D$10069,$B99),0)</f>
        <v>0</v>
      </c>
      <c r="K99" s="25">
        <f>Tabla2[[#This Row],[INGRESOS]]-Tabla2[[#This Row],[SALIDAS]]</f>
        <v>0</v>
      </c>
      <c r="L99" s="4" t="s">
        <v>14</v>
      </c>
      <c r="M99" s="38" t="s">
        <v>1</v>
      </c>
    </row>
    <row r="100" spans="1:13" x14ac:dyDescent="0.3">
      <c r="A100" s="22">
        <v>91</v>
      </c>
      <c r="B100" s="24" t="s">
        <v>205</v>
      </c>
      <c r="C100" s="10" t="s">
        <v>196</v>
      </c>
      <c r="D100" s="10" t="s">
        <v>193</v>
      </c>
      <c r="E100" s="10" t="s">
        <v>18</v>
      </c>
      <c r="F100" s="10" t="s">
        <v>119</v>
      </c>
      <c r="G100" s="24" t="s">
        <v>163</v>
      </c>
      <c r="H100" s="18" t="s">
        <v>41</v>
      </c>
      <c r="I100" s="29">
        <f>IFERROR(SUMIFS([1]INGRESOS!$N$2:$N$10022,[1]INGRESOS!$D$2:$D$10022,$B100),0)</f>
        <v>0</v>
      </c>
      <c r="J100" s="12">
        <f>IFERROR(SUMIFS([2]SALIDAS!$N$2:$N$10069,[2]SALIDAS!$D$2:$D$10069,$B100),0)</f>
        <v>0</v>
      </c>
      <c r="K100" s="25">
        <f>Tabla2[[#This Row],[INGRESOS]]-Tabla2[[#This Row],[SALIDAS]]</f>
        <v>0</v>
      </c>
      <c r="L100" s="3" t="s">
        <v>14</v>
      </c>
      <c r="M100" s="38" t="s">
        <v>1</v>
      </c>
    </row>
    <row r="101" spans="1:13" x14ac:dyDescent="0.3">
      <c r="A101" s="22">
        <v>92</v>
      </c>
      <c r="B101" s="24" t="s">
        <v>206</v>
      </c>
      <c r="C101" s="10" t="s">
        <v>196</v>
      </c>
      <c r="D101" s="10" t="s">
        <v>193</v>
      </c>
      <c r="E101" s="10" t="s">
        <v>18</v>
      </c>
      <c r="F101" s="10" t="s">
        <v>119</v>
      </c>
      <c r="G101" s="24" t="s">
        <v>177</v>
      </c>
      <c r="H101" s="18" t="s">
        <v>41</v>
      </c>
      <c r="I101" s="29">
        <f>IFERROR(SUMIFS([1]INGRESOS!$N$2:$N$10022,[1]INGRESOS!$D$2:$D$10022,$B101),0)</f>
        <v>0</v>
      </c>
      <c r="J101" s="12">
        <f>IFERROR(SUMIFS([2]SALIDAS!$N$2:$N$10069,[2]SALIDAS!$D$2:$D$10069,$B101),0)</f>
        <v>0</v>
      </c>
      <c r="K101" s="25">
        <f>Tabla2[[#This Row],[INGRESOS]]-Tabla2[[#This Row],[SALIDAS]]</f>
        <v>0</v>
      </c>
      <c r="L101" s="3" t="s">
        <v>14</v>
      </c>
      <c r="M101" s="38" t="s">
        <v>1</v>
      </c>
    </row>
    <row r="102" spans="1:13" x14ac:dyDescent="0.3">
      <c r="A102" s="22">
        <v>93</v>
      </c>
      <c r="B102" s="24" t="s">
        <v>207</v>
      </c>
      <c r="C102" s="10" t="s">
        <v>196</v>
      </c>
      <c r="D102" s="10" t="s">
        <v>193</v>
      </c>
      <c r="E102" s="10" t="s">
        <v>18</v>
      </c>
      <c r="F102" s="10" t="s">
        <v>119</v>
      </c>
      <c r="G102" s="24" t="s">
        <v>191</v>
      </c>
      <c r="H102" s="18" t="s">
        <v>41</v>
      </c>
      <c r="I102" s="29">
        <f>IFERROR(SUMIFS([1]INGRESOS!$N$2:$N$10022,[1]INGRESOS!$D$2:$D$10022,$B102),0)</f>
        <v>0</v>
      </c>
      <c r="J102" s="12">
        <f>IFERROR(SUMIFS([2]SALIDAS!$N$2:$N$10069,[2]SALIDAS!$D$2:$D$10069,$B102),0)</f>
        <v>0</v>
      </c>
      <c r="K102" s="25">
        <f>Tabla2[[#This Row],[INGRESOS]]-Tabla2[[#This Row],[SALIDAS]]</f>
        <v>0</v>
      </c>
      <c r="L102" s="3" t="s">
        <v>14</v>
      </c>
      <c r="M102" s="38" t="s">
        <v>1</v>
      </c>
    </row>
    <row r="103" spans="1:13" x14ac:dyDescent="0.3">
      <c r="A103" s="22">
        <v>94</v>
      </c>
      <c r="B103" s="24" t="s">
        <v>208</v>
      </c>
      <c r="C103" s="10" t="s">
        <v>196</v>
      </c>
      <c r="D103" s="10" t="s">
        <v>158</v>
      </c>
      <c r="E103" s="10" t="s">
        <v>18</v>
      </c>
      <c r="F103" s="10" t="s">
        <v>119</v>
      </c>
      <c r="G103" s="24" t="s">
        <v>163</v>
      </c>
      <c r="H103" s="18" t="s">
        <v>41</v>
      </c>
      <c r="I103" s="29">
        <f>IFERROR(SUMIFS([1]INGRESOS!$N$2:$N$10022,[1]INGRESOS!$D$2:$D$10022,$B103),0)</f>
        <v>0</v>
      </c>
      <c r="J103" s="12">
        <f>IFERROR(SUMIFS([2]SALIDAS!$N$2:$N$10069,[2]SALIDAS!$D$2:$D$10069,$B103),0)</f>
        <v>0</v>
      </c>
      <c r="K103" s="25">
        <f>Tabla2[[#This Row],[INGRESOS]]-Tabla2[[#This Row],[SALIDAS]]</f>
        <v>0</v>
      </c>
      <c r="L103" s="3" t="s">
        <v>14</v>
      </c>
      <c r="M103" s="39" t="s">
        <v>294</v>
      </c>
    </row>
    <row r="104" spans="1:13" x14ac:dyDescent="0.3">
      <c r="A104" s="22">
        <v>95</v>
      </c>
      <c r="B104" s="24" t="s">
        <v>209</v>
      </c>
      <c r="C104" s="10" t="s">
        <v>196</v>
      </c>
      <c r="D104" s="10" t="s">
        <v>158</v>
      </c>
      <c r="E104" s="10" t="s">
        <v>18</v>
      </c>
      <c r="F104" s="10" t="s">
        <v>119</v>
      </c>
      <c r="G104" s="24" t="s">
        <v>177</v>
      </c>
      <c r="H104" s="18" t="s">
        <v>41</v>
      </c>
      <c r="I104" s="29">
        <f>IFERROR(SUMIFS([1]INGRESOS!$N$2:$N$10022,[1]INGRESOS!$D$2:$D$10022,$B104),0)</f>
        <v>0</v>
      </c>
      <c r="J104" s="12">
        <f>IFERROR(SUMIFS([2]SALIDAS!$N$2:$N$10069,[2]SALIDAS!$D$2:$D$10069,$B104),0)</f>
        <v>0</v>
      </c>
      <c r="K104" s="25">
        <f>Tabla2[[#This Row],[INGRESOS]]-Tabla2[[#This Row],[SALIDAS]]</f>
        <v>0</v>
      </c>
      <c r="L104" s="3" t="s">
        <v>14</v>
      </c>
      <c r="M104" s="39" t="s">
        <v>294</v>
      </c>
    </row>
    <row r="105" spans="1:13" x14ac:dyDescent="0.3">
      <c r="A105" s="22">
        <v>96</v>
      </c>
      <c r="B105" s="24" t="s">
        <v>210</v>
      </c>
      <c r="C105" s="10" t="s">
        <v>196</v>
      </c>
      <c r="D105" s="10" t="s">
        <v>158</v>
      </c>
      <c r="E105" s="10" t="s">
        <v>18</v>
      </c>
      <c r="F105" s="10" t="s">
        <v>119</v>
      </c>
      <c r="G105" s="24" t="s">
        <v>191</v>
      </c>
      <c r="H105" s="18" t="s">
        <v>41</v>
      </c>
      <c r="I105" s="29">
        <f>IFERROR(SUMIFS([1]INGRESOS!$N$2:$N$10022,[1]INGRESOS!$D$2:$D$10022,$B105),0)</f>
        <v>0</v>
      </c>
      <c r="J105" s="12">
        <f>IFERROR(SUMIFS([2]SALIDAS!$N$2:$N$10069,[2]SALIDAS!$D$2:$D$10069,$B105),0)</f>
        <v>0</v>
      </c>
      <c r="K105" s="25">
        <f>Tabla2[[#This Row],[INGRESOS]]-Tabla2[[#This Row],[SALIDAS]]</f>
        <v>0</v>
      </c>
      <c r="L105" s="3" t="s">
        <v>14</v>
      </c>
      <c r="M105" s="38" t="s">
        <v>1</v>
      </c>
    </row>
    <row r="106" spans="1:13" x14ac:dyDescent="0.3">
      <c r="A106" s="22">
        <v>97</v>
      </c>
      <c r="B106" s="24" t="s">
        <v>211</v>
      </c>
      <c r="C106" s="10" t="s">
        <v>196</v>
      </c>
      <c r="D106" s="10" t="s">
        <v>158</v>
      </c>
      <c r="E106" s="10" t="s">
        <v>18</v>
      </c>
      <c r="F106" s="10" t="s">
        <v>39</v>
      </c>
      <c r="G106" s="24" t="s">
        <v>212</v>
      </c>
      <c r="H106" s="18" t="s">
        <v>41</v>
      </c>
      <c r="I106" s="29">
        <f>IFERROR(SUMIFS([1]INGRESOS!$N$2:$N$10022,[1]INGRESOS!$D$2:$D$10022,$B106),0)</f>
        <v>0</v>
      </c>
      <c r="J106" s="12">
        <f>IFERROR(SUMIFS([2]SALIDAS!$N$2:$N$10069,[2]SALIDAS!$D$2:$D$10069,$B106),0)</f>
        <v>0</v>
      </c>
      <c r="K106" s="25">
        <f>Tabla2[[#This Row],[INGRESOS]]-Tabla2[[#This Row],[SALIDAS]]</f>
        <v>0</v>
      </c>
      <c r="L106" s="3" t="s">
        <v>14</v>
      </c>
      <c r="M106" s="38" t="s">
        <v>1</v>
      </c>
    </row>
    <row r="107" spans="1:13" x14ac:dyDescent="0.3">
      <c r="A107" s="22">
        <v>98</v>
      </c>
      <c r="B107" s="24" t="s">
        <v>213</v>
      </c>
      <c r="C107" s="10" t="s">
        <v>196</v>
      </c>
      <c r="D107" s="10" t="s">
        <v>158</v>
      </c>
      <c r="E107" s="10" t="s">
        <v>18</v>
      </c>
      <c r="F107" s="10" t="s">
        <v>39</v>
      </c>
      <c r="G107" s="24" t="s">
        <v>214</v>
      </c>
      <c r="H107" s="18" t="s">
        <v>41</v>
      </c>
      <c r="I107" s="29">
        <f>IFERROR(SUMIFS([1]INGRESOS!$N$2:$N$10022,[1]INGRESOS!$D$2:$D$10022,$B107),0)</f>
        <v>0</v>
      </c>
      <c r="J107" s="12">
        <f>IFERROR(SUMIFS([2]SALIDAS!$N$2:$N$10069,[2]SALIDAS!$D$2:$D$10069,$B107),0)</f>
        <v>0</v>
      </c>
      <c r="K107" s="25">
        <f>Tabla2[[#This Row],[INGRESOS]]-Tabla2[[#This Row],[SALIDAS]]</f>
        <v>0</v>
      </c>
      <c r="L107" s="3" t="s">
        <v>14</v>
      </c>
      <c r="M107" s="38" t="s">
        <v>1</v>
      </c>
    </row>
    <row r="108" spans="1:13" x14ac:dyDescent="0.3">
      <c r="A108" s="22">
        <v>99</v>
      </c>
      <c r="B108" s="24" t="s">
        <v>215</v>
      </c>
      <c r="C108" s="10" t="s">
        <v>196</v>
      </c>
      <c r="D108" s="10" t="s">
        <v>158</v>
      </c>
      <c r="E108" s="10" t="s">
        <v>18</v>
      </c>
      <c r="F108" s="10" t="s">
        <v>39</v>
      </c>
      <c r="G108" s="24" t="s">
        <v>216</v>
      </c>
      <c r="H108" s="18" t="s">
        <v>41</v>
      </c>
      <c r="I108" s="29">
        <f>IFERROR(SUMIFS([1]INGRESOS!$N$2:$N$10022,[1]INGRESOS!$D$2:$D$10022,$B108),0)</f>
        <v>0</v>
      </c>
      <c r="J108" s="12">
        <f>IFERROR(SUMIFS([2]SALIDAS!$N$2:$N$10069,[2]SALIDAS!$D$2:$D$10069,$B108),0)</f>
        <v>0</v>
      </c>
      <c r="K108" s="25">
        <f>Tabla2[[#This Row],[INGRESOS]]-Tabla2[[#This Row],[SALIDAS]]</f>
        <v>0</v>
      </c>
      <c r="L108" s="3" t="s">
        <v>14</v>
      </c>
      <c r="M108" s="38" t="s">
        <v>1</v>
      </c>
    </row>
    <row r="109" spans="1:13" x14ac:dyDescent="0.3">
      <c r="A109" s="22">
        <v>100</v>
      </c>
      <c r="B109" s="24" t="s">
        <v>217</v>
      </c>
      <c r="C109" s="10" t="s">
        <v>196</v>
      </c>
      <c r="D109" s="10" t="s">
        <v>158</v>
      </c>
      <c r="E109" s="10" t="s">
        <v>18</v>
      </c>
      <c r="F109" s="10" t="s">
        <v>39</v>
      </c>
      <c r="G109" s="24" t="s">
        <v>218</v>
      </c>
      <c r="H109" s="18" t="s">
        <v>41</v>
      </c>
      <c r="I109" s="29">
        <f>IFERROR(SUMIFS([1]INGRESOS!$N$2:$N$10022,[1]INGRESOS!$D$2:$D$10022,$B109),0)</f>
        <v>0</v>
      </c>
      <c r="J109" s="12">
        <f>IFERROR(SUMIFS([2]SALIDAS!$N$2:$N$10069,[2]SALIDAS!$D$2:$D$10069,$B109),0)</f>
        <v>0</v>
      </c>
      <c r="K109" s="25">
        <f>Tabla2[[#This Row],[INGRESOS]]-Tabla2[[#This Row],[SALIDAS]]</f>
        <v>0</v>
      </c>
      <c r="L109" s="3" t="s">
        <v>14</v>
      </c>
      <c r="M109" s="38" t="s">
        <v>1</v>
      </c>
    </row>
    <row r="110" spans="1:13" x14ac:dyDescent="0.3">
      <c r="A110" s="22">
        <v>101</v>
      </c>
      <c r="B110" s="24" t="s">
        <v>219</v>
      </c>
      <c r="C110" s="10" t="s">
        <v>220</v>
      </c>
      <c r="D110" s="10" t="s">
        <v>185</v>
      </c>
      <c r="E110" s="10" t="s">
        <v>18</v>
      </c>
      <c r="F110" s="10" t="s">
        <v>119</v>
      </c>
      <c r="G110" s="24" t="s">
        <v>68</v>
      </c>
      <c r="H110" s="18" t="s">
        <v>41</v>
      </c>
      <c r="I110" s="29">
        <f>IFERROR(SUMIFS([1]INGRESOS!$N$2:$N$10022,[1]INGRESOS!$D$2:$D$10022,$B110),0)</f>
        <v>0</v>
      </c>
      <c r="J110" s="12">
        <f>IFERROR(SUMIFS([2]SALIDAS!$N$2:$N$10069,[2]SALIDAS!$D$2:$D$10069,$B110),0)</f>
        <v>0</v>
      </c>
      <c r="K110" s="25">
        <f>Tabla2[[#This Row],[INGRESOS]]-Tabla2[[#This Row],[SALIDAS]]</f>
        <v>0</v>
      </c>
      <c r="L110" s="3" t="s">
        <v>14</v>
      </c>
      <c r="M110" s="39" t="s">
        <v>294</v>
      </c>
    </row>
    <row r="111" spans="1:13" x14ac:dyDescent="0.3">
      <c r="A111" s="22">
        <v>102</v>
      </c>
      <c r="B111" s="24" t="s">
        <v>221</v>
      </c>
      <c r="C111" s="10" t="s">
        <v>220</v>
      </c>
      <c r="D111" s="10" t="s">
        <v>158</v>
      </c>
      <c r="E111" s="10" t="s">
        <v>18</v>
      </c>
      <c r="F111" s="10" t="s">
        <v>39</v>
      </c>
      <c r="G111" s="24" t="s">
        <v>163</v>
      </c>
      <c r="H111" s="18" t="s">
        <v>41</v>
      </c>
      <c r="I111" s="29">
        <f>IFERROR(SUMIFS([1]INGRESOS!$N$2:$N$10022,[1]INGRESOS!$D$2:$D$10022,$B111),0)</f>
        <v>0</v>
      </c>
      <c r="J111" s="12">
        <f>IFERROR(SUMIFS([2]SALIDAS!$N$2:$N$10069,[2]SALIDAS!$D$2:$D$10069,$B111),0)</f>
        <v>0</v>
      </c>
      <c r="K111" s="25">
        <f>Tabla2[[#This Row],[INGRESOS]]-Tabla2[[#This Row],[SALIDAS]]</f>
        <v>0</v>
      </c>
      <c r="L111" s="3" t="s">
        <v>14</v>
      </c>
      <c r="M111" s="38" t="s">
        <v>1</v>
      </c>
    </row>
    <row r="112" spans="1:13" x14ac:dyDescent="0.3">
      <c r="A112" s="22">
        <v>103</v>
      </c>
      <c r="B112" s="24" t="s">
        <v>222</v>
      </c>
      <c r="C112" s="10" t="s">
        <v>220</v>
      </c>
      <c r="D112" s="10" t="s">
        <v>158</v>
      </c>
      <c r="E112" s="10" t="s">
        <v>18</v>
      </c>
      <c r="F112" s="10" t="s">
        <v>39</v>
      </c>
      <c r="G112" s="24" t="s">
        <v>177</v>
      </c>
      <c r="H112" s="18" t="s">
        <v>41</v>
      </c>
      <c r="I112" s="29">
        <f>IFERROR(SUMIFS([1]INGRESOS!$N$2:$N$10022,[1]INGRESOS!$D$2:$D$10022,$B112),0)</f>
        <v>0</v>
      </c>
      <c r="J112" s="12">
        <f>IFERROR(SUMIFS([2]SALIDAS!$N$2:$N$10069,[2]SALIDAS!$D$2:$D$10069,$B112),0)</f>
        <v>0</v>
      </c>
      <c r="K112" s="25">
        <f>Tabla2[[#This Row],[INGRESOS]]-Tabla2[[#This Row],[SALIDAS]]</f>
        <v>0</v>
      </c>
      <c r="L112" s="3" t="s">
        <v>14</v>
      </c>
      <c r="M112" s="38" t="s">
        <v>1</v>
      </c>
    </row>
    <row r="113" spans="1:13" x14ac:dyDescent="0.3">
      <c r="A113" s="22">
        <v>104</v>
      </c>
      <c r="B113" s="24" t="s">
        <v>223</v>
      </c>
      <c r="C113" s="10" t="s">
        <v>220</v>
      </c>
      <c r="D113" s="10" t="s">
        <v>158</v>
      </c>
      <c r="E113" s="10" t="s">
        <v>18</v>
      </c>
      <c r="F113" s="10" t="s">
        <v>39</v>
      </c>
      <c r="G113" s="24" t="s">
        <v>224</v>
      </c>
      <c r="H113" s="18" t="s">
        <v>41</v>
      </c>
      <c r="I113" s="29">
        <f>IFERROR(SUMIFS([1]INGRESOS!$N$2:$N$10022,[1]INGRESOS!$D$2:$D$10022,$B113),0)</f>
        <v>0</v>
      </c>
      <c r="J113" s="12">
        <f>IFERROR(SUMIFS([2]SALIDAS!$N$2:$N$10069,[2]SALIDAS!$D$2:$D$10069,$B113),0)</f>
        <v>0</v>
      </c>
      <c r="K113" s="25">
        <f>Tabla2[[#This Row],[INGRESOS]]-Tabla2[[#This Row],[SALIDAS]]</f>
        <v>0</v>
      </c>
      <c r="L113" s="3" t="s">
        <v>14</v>
      </c>
      <c r="M113" s="39" t="s">
        <v>294</v>
      </c>
    </row>
    <row r="114" spans="1:13" x14ac:dyDescent="0.3">
      <c r="A114" s="22">
        <v>105</v>
      </c>
      <c r="B114" s="24" t="s">
        <v>225</v>
      </c>
      <c r="C114" s="10" t="s">
        <v>220</v>
      </c>
      <c r="D114" s="10" t="s">
        <v>158</v>
      </c>
      <c r="E114" s="10" t="s">
        <v>18</v>
      </c>
      <c r="F114" s="10" t="s">
        <v>39</v>
      </c>
      <c r="G114" s="24" t="s">
        <v>226</v>
      </c>
      <c r="H114" s="18" t="s">
        <v>41</v>
      </c>
      <c r="I114" s="29">
        <f>IFERROR(SUMIFS([1]INGRESOS!$N$2:$N$10022,[1]INGRESOS!$D$2:$D$10022,$B114),0)</f>
        <v>0</v>
      </c>
      <c r="J114" s="12">
        <f>IFERROR(SUMIFS([2]SALIDAS!$N$2:$N$10069,[2]SALIDAS!$D$2:$D$10069,$B114),0)</f>
        <v>0</v>
      </c>
      <c r="K114" s="25">
        <f>Tabla2[[#This Row],[INGRESOS]]-Tabla2[[#This Row],[SALIDAS]]</f>
        <v>0</v>
      </c>
      <c r="L114" s="3" t="s">
        <v>14</v>
      </c>
      <c r="M114" s="39" t="s">
        <v>294</v>
      </c>
    </row>
    <row r="115" spans="1:13" x14ac:dyDescent="0.3">
      <c r="A115" s="22">
        <v>106</v>
      </c>
      <c r="B115" s="24" t="s">
        <v>227</v>
      </c>
      <c r="C115" s="10" t="s">
        <v>228</v>
      </c>
      <c r="D115" s="10" t="s">
        <v>158</v>
      </c>
      <c r="E115" s="10" t="s">
        <v>18</v>
      </c>
      <c r="F115" s="10" t="s">
        <v>39</v>
      </c>
      <c r="G115" s="24" t="s">
        <v>177</v>
      </c>
      <c r="H115" s="18" t="s">
        <v>41</v>
      </c>
      <c r="I115" s="29">
        <f>IFERROR(SUMIFS([1]INGRESOS!$N$2:$N$10022,[1]INGRESOS!$D$2:$D$10022,$B115),0)</f>
        <v>0</v>
      </c>
      <c r="J115" s="12">
        <f>IFERROR(SUMIFS([2]SALIDAS!$N$2:$N$10069,[2]SALIDAS!$D$2:$D$10069,$B115),0)</f>
        <v>0</v>
      </c>
      <c r="K115" s="25">
        <f>Tabla2[[#This Row],[INGRESOS]]-Tabla2[[#This Row],[SALIDAS]]</f>
        <v>0</v>
      </c>
      <c r="L115" s="3" t="s">
        <v>14</v>
      </c>
      <c r="M115" s="38" t="s">
        <v>1</v>
      </c>
    </row>
    <row r="116" spans="1:13" x14ac:dyDescent="0.3">
      <c r="A116" s="22">
        <v>107</v>
      </c>
      <c r="B116" s="24" t="s">
        <v>229</v>
      </c>
      <c r="C116" s="10" t="s">
        <v>228</v>
      </c>
      <c r="D116" s="10" t="s">
        <v>158</v>
      </c>
      <c r="E116" s="10" t="s">
        <v>18</v>
      </c>
      <c r="F116" s="10" t="s">
        <v>39</v>
      </c>
      <c r="G116" s="24" t="s">
        <v>224</v>
      </c>
      <c r="H116" s="18" t="s">
        <v>41</v>
      </c>
      <c r="I116" s="29">
        <f>IFERROR(SUMIFS([1]INGRESOS!$N$2:$N$10022,[1]INGRESOS!$D$2:$D$10022,$B116),0)</f>
        <v>0</v>
      </c>
      <c r="J116" s="12">
        <f>IFERROR(SUMIFS([2]SALIDAS!$N$2:$N$10069,[2]SALIDAS!$D$2:$D$10069,$B116),0)</f>
        <v>0</v>
      </c>
      <c r="K116" s="25">
        <f>Tabla2[[#This Row],[INGRESOS]]-Tabla2[[#This Row],[SALIDAS]]</f>
        <v>0</v>
      </c>
      <c r="L116" s="3" t="s">
        <v>14</v>
      </c>
      <c r="M116" s="38" t="s">
        <v>1</v>
      </c>
    </row>
    <row r="117" spans="1:13" x14ac:dyDescent="0.3">
      <c r="A117" s="22">
        <v>108</v>
      </c>
      <c r="B117" s="24" t="s">
        <v>230</v>
      </c>
      <c r="C117" s="10" t="s">
        <v>228</v>
      </c>
      <c r="D117" s="10" t="s">
        <v>158</v>
      </c>
      <c r="E117" s="10" t="s">
        <v>18</v>
      </c>
      <c r="F117" s="10" t="s">
        <v>39</v>
      </c>
      <c r="G117" s="24" t="s">
        <v>226</v>
      </c>
      <c r="H117" s="18" t="s">
        <v>41</v>
      </c>
      <c r="I117" s="29">
        <f>IFERROR(SUMIFS([1]INGRESOS!$N$2:$N$10022,[1]INGRESOS!$D$2:$D$10022,$B117),0)</f>
        <v>0</v>
      </c>
      <c r="J117" s="12">
        <f>IFERROR(SUMIFS([2]SALIDAS!$N$2:$N$10069,[2]SALIDAS!$D$2:$D$10069,$B117),0)</f>
        <v>0</v>
      </c>
      <c r="K117" s="25">
        <f>Tabla2[[#This Row],[INGRESOS]]-Tabla2[[#This Row],[SALIDAS]]</f>
        <v>0</v>
      </c>
      <c r="L117" s="3" t="s">
        <v>14</v>
      </c>
      <c r="M117" s="38" t="s">
        <v>1</v>
      </c>
    </row>
    <row r="118" spans="1:13" x14ac:dyDescent="0.3">
      <c r="A118" s="22">
        <v>109</v>
      </c>
      <c r="B118" s="24" t="s">
        <v>231</v>
      </c>
      <c r="C118" s="10" t="s">
        <v>228</v>
      </c>
      <c r="D118" s="10" t="s">
        <v>158</v>
      </c>
      <c r="E118" s="10" t="s">
        <v>18</v>
      </c>
      <c r="F118" s="10" t="s">
        <v>39</v>
      </c>
      <c r="G118" s="24" t="s">
        <v>232</v>
      </c>
      <c r="H118" s="18" t="s">
        <v>41</v>
      </c>
      <c r="I118" s="29">
        <f>IFERROR(SUMIFS([1]INGRESOS!$N$2:$N$10022,[1]INGRESOS!$D$2:$D$10022,$B118),0)</f>
        <v>0</v>
      </c>
      <c r="J118" s="12">
        <f>IFERROR(SUMIFS([2]SALIDAS!$N$2:$N$10069,[2]SALIDAS!$D$2:$D$10069,$B118),0)</f>
        <v>0</v>
      </c>
      <c r="K118" s="25">
        <f>Tabla2[[#This Row],[INGRESOS]]-Tabla2[[#This Row],[SALIDAS]]</f>
        <v>0</v>
      </c>
      <c r="L118" s="3" t="s">
        <v>14</v>
      </c>
      <c r="M118" s="39" t="s">
        <v>294</v>
      </c>
    </row>
    <row r="119" spans="1:13" x14ac:dyDescent="0.3">
      <c r="A119" s="22">
        <v>110</v>
      </c>
      <c r="B119" s="24" t="s">
        <v>233</v>
      </c>
      <c r="C119" s="10" t="s">
        <v>234</v>
      </c>
      <c r="D119" s="10" t="s">
        <v>113</v>
      </c>
      <c r="E119" s="10" t="s">
        <v>18</v>
      </c>
      <c r="F119" s="10" t="s">
        <v>19</v>
      </c>
      <c r="G119" s="24" t="s">
        <v>235</v>
      </c>
      <c r="H119" s="18" t="s">
        <v>41</v>
      </c>
      <c r="I119" s="29">
        <f>IFERROR(SUMIFS([1]INGRESOS!$N$2:$N$10022,[1]INGRESOS!$D$2:$D$10022,$B119),0)</f>
        <v>0</v>
      </c>
      <c r="J119" s="12">
        <f>IFERROR(SUMIFS([2]SALIDAS!$N$2:$N$10069,[2]SALIDAS!$D$2:$D$10069,$B119),0)</f>
        <v>0</v>
      </c>
      <c r="K119" s="25">
        <f>Tabla2[[#This Row],[INGRESOS]]-Tabla2[[#This Row],[SALIDAS]]</f>
        <v>0</v>
      </c>
      <c r="L119" s="3" t="s">
        <v>14</v>
      </c>
      <c r="M119" s="38" t="s">
        <v>1</v>
      </c>
    </row>
    <row r="120" spans="1:13" x14ac:dyDescent="0.3">
      <c r="A120" s="22">
        <v>111</v>
      </c>
      <c r="B120" s="24" t="s">
        <v>236</v>
      </c>
      <c r="C120" s="10" t="s">
        <v>234</v>
      </c>
      <c r="D120" s="10" t="s">
        <v>166</v>
      </c>
      <c r="E120" s="10" t="s">
        <v>18</v>
      </c>
      <c r="F120" s="10" t="s">
        <v>19</v>
      </c>
      <c r="G120" s="24" t="s">
        <v>235</v>
      </c>
      <c r="H120" s="18" t="s">
        <v>41</v>
      </c>
      <c r="I120" s="29">
        <f>IFERROR(SUMIFS([1]INGRESOS!$N$2:$N$10022,[1]INGRESOS!$D$2:$D$10022,$B120),0)</f>
        <v>0</v>
      </c>
      <c r="J120" s="12">
        <f>IFERROR(SUMIFS([2]SALIDAS!$N$2:$N$10069,[2]SALIDAS!$D$2:$D$10069,$B120),0)</f>
        <v>0</v>
      </c>
      <c r="K120" s="25">
        <f>Tabla2[[#This Row],[INGRESOS]]-Tabla2[[#This Row],[SALIDAS]]</f>
        <v>0</v>
      </c>
      <c r="L120" s="4" t="s">
        <v>14</v>
      </c>
      <c r="M120" s="38" t="s">
        <v>1</v>
      </c>
    </row>
    <row r="121" spans="1:13" x14ac:dyDescent="0.3">
      <c r="A121" s="22">
        <v>112</v>
      </c>
      <c r="B121" s="24" t="s">
        <v>237</v>
      </c>
      <c r="C121" s="10" t="s">
        <v>234</v>
      </c>
      <c r="D121" s="10" t="s">
        <v>158</v>
      </c>
      <c r="E121" s="10" t="s">
        <v>18</v>
      </c>
      <c r="F121" s="10" t="s">
        <v>39</v>
      </c>
      <c r="G121" s="24" t="s">
        <v>212</v>
      </c>
      <c r="H121" s="18" t="s">
        <v>41</v>
      </c>
      <c r="I121" s="29">
        <f>IFERROR(SUMIFS([1]INGRESOS!$N$2:$N$10022,[1]INGRESOS!$D$2:$D$10022,$B121),0)</f>
        <v>0</v>
      </c>
      <c r="J121" s="12">
        <f>IFERROR(SUMIFS([2]SALIDAS!$N$2:$N$10069,[2]SALIDAS!$D$2:$D$10069,$B121),0)</f>
        <v>0</v>
      </c>
      <c r="K121" s="25">
        <f>Tabla2[[#This Row],[INGRESOS]]-Tabla2[[#This Row],[SALIDAS]]</f>
        <v>0</v>
      </c>
      <c r="L121" s="4" t="s">
        <v>14</v>
      </c>
      <c r="M121" s="38" t="s">
        <v>1</v>
      </c>
    </row>
    <row r="122" spans="1:13" x14ac:dyDescent="0.3">
      <c r="A122" s="22">
        <v>113</v>
      </c>
      <c r="B122" s="24" t="s">
        <v>238</v>
      </c>
      <c r="C122" s="10" t="s">
        <v>234</v>
      </c>
      <c r="D122" s="10" t="s">
        <v>158</v>
      </c>
      <c r="E122" s="10" t="s">
        <v>18</v>
      </c>
      <c r="F122" s="10" t="s">
        <v>39</v>
      </c>
      <c r="G122" s="24" t="s">
        <v>214</v>
      </c>
      <c r="H122" s="18" t="s">
        <v>41</v>
      </c>
      <c r="I122" s="29">
        <f>IFERROR(SUMIFS([1]INGRESOS!$N$2:$N$10022,[1]INGRESOS!$D$2:$D$10022,$B122),0)</f>
        <v>0</v>
      </c>
      <c r="J122" s="12">
        <f>IFERROR(SUMIFS([2]SALIDAS!$N$2:$N$10069,[2]SALIDAS!$D$2:$D$10069,$B122),0)</f>
        <v>0</v>
      </c>
      <c r="K122" s="25">
        <f>Tabla2[[#This Row],[INGRESOS]]-Tabla2[[#This Row],[SALIDAS]]</f>
        <v>0</v>
      </c>
      <c r="L122" s="3" t="s">
        <v>14</v>
      </c>
      <c r="M122" s="39" t="s">
        <v>294</v>
      </c>
    </row>
    <row r="123" spans="1:13" x14ac:dyDescent="0.3">
      <c r="A123" s="22">
        <v>114</v>
      </c>
      <c r="B123" s="24" t="s">
        <v>239</v>
      </c>
      <c r="C123" s="10" t="s">
        <v>234</v>
      </c>
      <c r="D123" s="10" t="s">
        <v>158</v>
      </c>
      <c r="E123" s="10" t="s">
        <v>18</v>
      </c>
      <c r="F123" s="10" t="s">
        <v>39</v>
      </c>
      <c r="G123" s="24" t="s">
        <v>216</v>
      </c>
      <c r="H123" s="18" t="s">
        <v>41</v>
      </c>
      <c r="I123" s="29">
        <f>IFERROR(SUMIFS([1]INGRESOS!$N$2:$N$10022,[1]INGRESOS!$D$2:$D$10022,$B123),0)</f>
        <v>0</v>
      </c>
      <c r="J123" s="12">
        <f>IFERROR(SUMIFS([2]SALIDAS!$N$2:$N$10069,[2]SALIDAS!$D$2:$D$10069,$B123),0)</f>
        <v>0</v>
      </c>
      <c r="K123" s="25">
        <f>Tabla2[[#This Row],[INGRESOS]]-Tabla2[[#This Row],[SALIDAS]]</f>
        <v>0</v>
      </c>
      <c r="L123" s="3" t="s">
        <v>14</v>
      </c>
      <c r="M123" s="39" t="s">
        <v>294</v>
      </c>
    </row>
    <row r="124" spans="1:13" x14ac:dyDescent="0.3">
      <c r="A124" s="22">
        <v>115</v>
      </c>
      <c r="B124" s="24" t="s">
        <v>240</v>
      </c>
      <c r="C124" s="10" t="s">
        <v>234</v>
      </c>
      <c r="D124" s="10" t="s">
        <v>158</v>
      </c>
      <c r="E124" s="10" t="s">
        <v>18</v>
      </c>
      <c r="F124" s="10" t="s">
        <v>39</v>
      </c>
      <c r="G124" s="24" t="s">
        <v>218</v>
      </c>
      <c r="H124" s="18" t="s">
        <v>41</v>
      </c>
      <c r="I124" s="29">
        <f>IFERROR(SUMIFS([1]INGRESOS!$N$2:$N$10022,[1]INGRESOS!$D$2:$D$10022,$B124),0)</f>
        <v>0</v>
      </c>
      <c r="J124" s="12">
        <f>IFERROR(SUMIFS([2]SALIDAS!$N$2:$N$10069,[2]SALIDAS!$D$2:$D$10069,$B124),0)</f>
        <v>0</v>
      </c>
      <c r="K124" s="25">
        <f>Tabla2[[#This Row],[INGRESOS]]-Tabla2[[#This Row],[SALIDAS]]</f>
        <v>0</v>
      </c>
      <c r="L124" s="3" t="s">
        <v>14</v>
      </c>
      <c r="M124" s="38" t="s">
        <v>1</v>
      </c>
    </row>
    <row r="125" spans="1:13" x14ac:dyDescent="0.3">
      <c r="A125" s="22">
        <v>116</v>
      </c>
      <c r="B125" s="24" t="s">
        <v>241</v>
      </c>
      <c r="C125" s="10" t="s">
        <v>234</v>
      </c>
      <c r="D125" s="10" t="s">
        <v>158</v>
      </c>
      <c r="E125" s="10" t="s">
        <v>18</v>
      </c>
      <c r="F125" s="10" t="s">
        <v>39</v>
      </c>
      <c r="G125" s="24" t="s">
        <v>163</v>
      </c>
      <c r="H125" s="18" t="s">
        <v>41</v>
      </c>
      <c r="I125" s="29">
        <f>IFERROR(SUMIFS([1]INGRESOS!$N$2:$N$10022,[1]INGRESOS!$D$2:$D$10022,$B125),0)</f>
        <v>0</v>
      </c>
      <c r="J125" s="12">
        <f>IFERROR(SUMIFS([2]SALIDAS!$N$2:$N$10069,[2]SALIDAS!$D$2:$D$10069,$B125),0)</f>
        <v>0</v>
      </c>
      <c r="K125" s="25">
        <f>Tabla2[[#This Row],[INGRESOS]]-Tabla2[[#This Row],[SALIDAS]]</f>
        <v>0</v>
      </c>
      <c r="L125" s="3" t="s">
        <v>14</v>
      </c>
    </row>
    <row r="126" spans="1:13" x14ac:dyDescent="0.3">
      <c r="A126" s="22">
        <v>117</v>
      </c>
      <c r="B126" s="24" t="s">
        <v>242</v>
      </c>
      <c r="C126" s="10" t="s">
        <v>234</v>
      </c>
      <c r="D126" s="10" t="s">
        <v>198</v>
      </c>
      <c r="E126" s="10" t="s">
        <v>18</v>
      </c>
      <c r="F126" s="10" t="s">
        <v>119</v>
      </c>
      <c r="G126" s="24" t="s">
        <v>181</v>
      </c>
      <c r="H126" s="18" t="s">
        <v>41</v>
      </c>
      <c r="I126" s="29">
        <f>IFERROR(SUMIFS([1]INGRESOS!$N$2:$N$10022,[1]INGRESOS!$D$2:$D$10022,$B126),0)</f>
        <v>0</v>
      </c>
      <c r="J126" s="12">
        <f>IFERROR(SUMIFS([2]SALIDAS!$N$2:$N$10069,[2]SALIDAS!$D$2:$D$10069,$B126),0)</f>
        <v>0</v>
      </c>
      <c r="K126" s="25">
        <f>Tabla2[[#This Row],[INGRESOS]]-Tabla2[[#This Row],[SALIDAS]]</f>
        <v>0</v>
      </c>
      <c r="L126" s="4" t="s">
        <v>14</v>
      </c>
    </row>
    <row r="127" spans="1:13" x14ac:dyDescent="0.3">
      <c r="A127" s="22">
        <v>118</v>
      </c>
      <c r="B127" s="24" t="s">
        <v>243</v>
      </c>
      <c r="C127" s="10" t="s">
        <v>234</v>
      </c>
      <c r="D127" s="10" t="s">
        <v>244</v>
      </c>
      <c r="E127" s="10" t="s">
        <v>18</v>
      </c>
      <c r="F127" s="10" t="s">
        <v>119</v>
      </c>
      <c r="G127" s="24" t="s">
        <v>163</v>
      </c>
      <c r="H127" s="18" t="s">
        <v>41</v>
      </c>
      <c r="I127" s="29">
        <f>IFERROR(SUMIFS([1]INGRESOS!$N$2:$N$10022,[1]INGRESOS!$D$2:$D$10022,$B127),0)</f>
        <v>0</v>
      </c>
      <c r="J127" s="12">
        <f>IFERROR(SUMIFS([2]SALIDAS!$N$2:$N$10069,[2]SALIDAS!$D$2:$D$10069,$B127),0)</f>
        <v>0</v>
      </c>
      <c r="K127" s="25">
        <f>Tabla2[[#This Row],[INGRESOS]]-Tabla2[[#This Row],[SALIDAS]]</f>
        <v>0</v>
      </c>
      <c r="L127" s="4" t="s">
        <v>14</v>
      </c>
      <c r="M127" s="39" t="s">
        <v>294</v>
      </c>
    </row>
    <row r="128" spans="1:13" x14ac:dyDescent="0.3">
      <c r="A128" s="22">
        <v>119</v>
      </c>
      <c r="B128" s="24" t="s">
        <v>245</v>
      </c>
      <c r="C128" s="10" t="s">
        <v>234</v>
      </c>
      <c r="D128" s="10" t="s">
        <v>193</v>
      </c>
      <c r="E128" s="10" t="s">
        <v>18</v>
      </c>
      <c r="F128" s="10" t="s">
        <v>119</v>
      </c>
      <c r="G128" s="24" t="s">
        <v>177</v>
      </c>
      <c r="H128" s="18" t="s">
        <v>41</v>
      </c>
      <c r="I128" s="29">
        <f>IFERROR(SUMIFS([1]INGRESOS!$N$2:$N$10022,[1]INGRESOS!$D$2:$D$10022,$B128),0)</f>
        <v>0</v>
      </c>
      <c r="J128" s="12">
        <f>IFERROR(SUMIFS([2]SALIDAS!$N$2:$N$10069,[2]SALIDAS!$D$2:$D$10069,$B128),0)</f>
        <v>0</v>
      </c>
      <c r="K128" s="25">
        <f>Tabla2[[#This Row],[INGRESOS]]-Tabla2[[#This Row],[SALIDAS]]</f>
        <v>0</v>
      </c>
      <c r="L128" s="4" t="s">
        <v>14</v>
      </c>
      <c r="M128" s="39" t="s">
        <v>294</v>
      </c>
    </row>
    <row r="129" spans="1:13" x14ac:dyDescent="0.3">
      <c r="A129" s="22">
        <v>120</v>
      </c>
      <c r="B129" s="24" t="s">
        <v>246</v>
      </c>
      <c r="C129" s="10" t="s">
        <v>247</v>
      </c>
      <c r="D129" s="10" t="s">
        <v>193</v>
      </c>
      <c r="E129" s="10" t="s">
        <v>18</v>
      </c>
      <c r="F129" s="10" t="s">
        <v>119</v>
      </c>
      <c r="G129" s="24" t="s">
        <v>177</v>
      </c>
      <c r="H129" s="18" t="s">
        <v>41</v>
      </c>
      <c r="I129" s="29">
        <f>IFERROR(SUMIFS([1]INGRESOS!$N$2:$N$10022,[1]INGRESOS!$D$2:$D$10022,$B129),0)</f>
        <v>0</v>
      </c>
      <c r="J129" s="12">
        <f>IFERROR(SUMIFS([2]SALIDAS!$N$2:$N$10069,[2]SALIDAS!$D$2:$D$10069,$B129),0)</f>
        <v>0</v>
      </c>
      <c r="K129" s="25">
        <f>Tabla2[[#This Row],[INGRESOS]]-Tabla2[[#This Row],[SALIDAS]]</f>
        <v>0</v>
      </c>
      <c r="L129" s="3" t="s">
        <v>14</v>
      </c>
      <c r="M129" s="39" t="s">
        <v>294</v>
      </c>
    </row>
    <row r="130" spans="1:13" x14ac:dyDescent="0.3">
      <c r="A130" s="22">
        <v>121</v>
      </c>
      <c r="B130" s="24" t="s">
        <v>248</v>
      </c>
      <c r="C130" s="10" t="s">
        <v>247</v>
      </c>
      <c r="D130" s="10" t="s">
        <v>193</v>
      </c>
      <c r="E130" s="10" t="s">
        <v>18</v>
      </c>
      <c r="F130" s="10" t="s">
        <v>119</v>
      </c>
      <c r="G130" s="24" t="s">
        <v>191</v>
      </c>
      <c r="H130" s="18" t="s">
        <v>41</v>
      </c>
      <c r="I130" s="29">
        <f>IFERROR(SUMIFS([1]INGRESOS!$N$2:$N$10022,[1]INGRESOS!$D$2:$D$10022,$B130),0)</f>
        <v>0</v>
      </c>
      <c r="J130" s="12">
        <f>IFERROR(SUMIFS([2]SALIDAS!$N$2:$N$10069,[2]SALIDAS!$D$2:$D$10069,$B130),0)</f>
        <v>0</v>
      </c>
      <c r="K130" s="25">
        <f>Tabla2[[#This Row],[INGRESOS]]-Tabla2[[#This Row],[SALIDAS]]</f>
        <v>0</v>
      </c>
      <c r="L130" s="3" t="s">
        <v>14</v>
      </c>
      <c r="M130" s="39" t="s">
        <v>294</v>
      </c>
    </row>
    <row r="131" spans="1:13" x14ac:dyDescent="0.3">
      <c r="A131" s="22">
        <v>122</v>
      </c>
      <c r="B131" s="24" t="s">
        <v>249</v>
      </c>
      <c r="C131" s="10" t="s">
        <v>247</v>
      </c>
      <c r="D131" s="10" t="s">
        <v>158</v>
      </c>
      <c r="E131" s="10" t="s">
        <v>18</v>
      </c>
      <c r="F131" s="10" t="s">
        <v>119</v>
      </c>
      <c r="G131" s="24" t="s">
        <v>163</v>
      </c>
      <c r="H131" s="18" t="s">
        <v>41</v>
      </c>
      <c r="I131" s="29">
        <f>IFERROR(SUMIFS([1]INGRESOS!$N$2:$N$10022,[1]INGRESOS!$D$2:$D$10022,$B131),0)</f>
        <v>0</v>
      </c>
      <c r="J131" s="12">
        <f>IFERROR(SUMIFS([2]SALIDAS!$N$2:$N$10069,[2]SALIDAS!$D$2:$D$10069,$B131),0)</f>
        <v>0</v>
      </c>
      <c r="K131" s="25">
        <f>Tabla2[[#This Row],[INGRESOS]]-Tabla2[[#This Row],[SALIDAS]]</f>
        <v>0</v>
      </c>
      <c r="L131" s="3" t="s">
        <v>14</v>
      </c>
      <c r="M131" s="39" t="s">
        <v>294</v>
      </c>
    </row>
    <row r="132" spans="1:13" x14ac:dyDescent="0.3">
      <c r="A132" s="22">
        <v>123</v>
      </c>
      <c r="B132" s="24" t="s">
        <v>250</v>
      </c>
      <c r="C132" s="10" t="s">
        <v>251</v>
      </c>
      <c r="D132" s="10" t="s">
        <v>123</v>
      </c>
      <c r="E132" s="10" t="s">
        <v>18</v>
      </c>
      <c r="F132" s="10" t="s">
        <v>39</v>
      </c>
      <c r="G132" s="24" t="s">
        <v>68</v>
      </c>
      <c r="H132" s="18" t="s">
        <v>41</v>
      </c>
      <c r="I132" s="29">
        <f>IFERROR(SUMIFS([1]INGRESOS!$N$2:$N$10022,[1]INGRESOS!$D$2:$D$10022,$B132),0)</f>
        <v>0</v>
      </c>
      <c r="J132" s="12">
        <f>IFERROR(SUMIFS([2]SALIDAS!$N$2:$N$10069,[2]SALIDAS!$D$2:$D$10069,$B132),0)</f>
        <v>0</v>
      </c>
      <c r="K132" s="25">
        <f>Tabla2[[#This Row],[INGRESOS]]-Tabla2[[#This Row],[SALIDAS]]</f>
        <v>0</v>
      </c>
      <c r="L132" s="3" t="s">
        <v>14</v>
      </c>
      <c r="M132" s="38" t="s">
        <v>293</v>
      </c>
    </row>
    <row r="133" spans="1:13" x14ac:dyDescent="0.3">
      <c r="A133" s="22">
        <v>124</v>
      </c>
      <c r="B133" s="24" t="s">
        <v>252</v>
      </c>
      <c r="C133" s="10" t="s">
        <v>253</v>
      </c>
      <c r="D133" s="10" t="s">
        <v>113</v>
      </c>
      <c r="E133" s="10" t="s">
        <v>18</v>
      </c>
      <c r="F133" s="10" t="s">
        <v>39</v>
      </c>
      <c r="G133" s="24" t="s">
        <v>68</v>
      </c>
      <c r="H133" s="18" t="s">
        <v>41</v>
      </c>
      <c r="I133" s="29">
        <f>IFERROR(SUMIFS([1]INGRESOS!$N$2:$N$10022,[1]INGRESOS!$D$2:$D$10022,$B133),0)</f>
        <v>0</v>
      </c>
      <c r="J133" s="12">
        <f>IFERROR(SUMIFS([2]SALIDAS!$N$2:$N$10069,[2]SALIDAS!$D$2:$D$10069,$B133),0)</f>
        <v>0</v>
      </c>
      <c r="K133" s="25">
        <f>Tabla2[[#This Row],[INGRESOS]]-Tabla2[[#This Row],[SALIDAS]]</f>
        <v>0</v>
      </c>
      <c r="L133" s="3" t="s">
        <v>14</v>
      </c>
      <c r="M133" s="42" t="s">
        <v>299</v>
      </c>
    </row>
    <row r="134" spans="1:13" x14ac:dyDescent="0.3">
      <c r="A134" s="22">
        <v>125</v>
      </c>
      <c r="B134" s="24" t="s">
        <v>254</v>
      </c>
      <c r="C134" s="10" t="s">
        <v>253</v>
      </c>
      <c r="D134" s="10" t="s">
        <v>255</v>
      </c>
      <c r="E134" s="10" t="s">
        <v>18</v>
      </c>
      <c r="F134" s="10" t="s">
        <v>39</v>
      </c>
      <c r="G134" s="24" t="s">
        <v>68</v>
      </c>
      <c r="H134" s="18" t="s">
        <v>41</v>
      </c>
      <c r="I134" s="29">
        <f>IFERROR(SUMIFS([1]INGRESOS!$N$2:$N$10022,[1]INGRESOS!$D$2:$D$10022,$B134),0)</f>
        <v>0</v>
      </c>
      <c r="J134" s="12">
        <f>IFERROR(SUMIFS([2]SALIDAS!$N$2:$N$10069,[2]SALIDAS!$D$2:$D$10069,$B134),0)</f>
        <v>0</v>
      </c>
      <c r="K134" s="25">
        <f>Tabla2[[#This Row],[INGRESOS]]-Tabla2[[#This Row],[SALIDAS]]</f>
        <v>0</v>
      </c>
      <c r="L134" s="3" t="s">
        <v>14</v>
      </c>
    </row>
    <row r="135" spans="1:13" x14ac:dyDescent="0.3">
      <c r="A135" s="22">
        <v>126</v>
      </c>
      <c r="B135" s="24" t="s">
        <v>256</v>
      </c>
      <c r="C135" s="10" t="s">
        <v>253</v>
      </c>
      <c r="D135" s="10" t="s">
        <v>257</v>
      </c>
      <c r="E135" s="10" t="s">
        <v>18</v>
      </c>
      <c r="F135" s="10" t="s">
        <v>39</v>
      </c>
      <c r="G135" s="24" t="s">
        <v>258</v>
      </c>
      <c r="H135" s="18" t="s">
        <v>41</v>
      </c>
      <c r="I135" s="29">
        <f>IFERROR(SUMIFS([1]INGRESOS!$N$2:$N$10022,[1]INGRESOS!$D$2:$D$10022,$B135),0)</f>
        <v>0</v>
      </c>
      <c r="J135" s="12">
        <f>IFERROR(SUMIFS([2]SALIDAS!$N$2:$N$10069,[2]SALIDAS!$D$2:$D$10069,$B135),0)</f>
        <v>0</v>
      </c>
      <c r="K135" s="25">
        <f>Tabla2[[#This Row],[INGRESOS]]-Tabla2[[#This Row],[SALIDAS]]</f>
        <v>0</v>
      </c>
      <c r="L135" s="3" t="s">
        <v>14</v>
      </c>
    </row>
    <row r="136" spans="1:13" x14ac:dyDescent="0.3">
      <c r="A136" s="22">
        <v>127</v>
      </c>
      <c r="B136" s="24" t="s">
        <v>259</v>
      </c>
      <c r="C136" s="10" t="s">
        <v>253</v>
      </c>
      <c r="D136" s="10" t="s">
        <v>257</v>
      </c>
      <c r="E136" s="10" t="s">
        <v>18</v>
      </c>
      <c r="F136" s="10" t="s">
        <v>39</v>
      </c>
      <c r="G136" s="24" t="s">
        <v>260</v>
      </c>
      <c r="H136" s="18" t="s">
        <v>41</v>
      </c>
      <c r="I136" s="29">
        <f>IFERROR(SUMIFS([1]INGRESOS!$N$2:$N$10022,[1]INGRESOS!$D$2:$D$10022,$B136),0)</f>
        <v>0</v>
      </c>
      <c r="J136" s="12">
        <f>IFERROR(SUMIFS([2]SALIDAS!$N$2:$N$10069,[2]SALIDAS!$D$2:$D$10069,$B136),0)</f>
        <v>0</v>
      </c>
      <c r="K136" s="25">
        <f>Tabla2[[#This Row],[INGRESOS]]-Tabla2[[#This Row],[SALIDAS]]</f>
        <v>0</v>
      </c>
      <c r="L136" s="3" t="s">
        <v>14</v>
      </c>
      <c r="M136" s="39" t="s">
        <v>294</v>
      </c>
    </row>
    <row r="137" spans="1:13" x14ac:dyDescent="0.3">
      <c r="A137" s="22">
        <v>128</v>
      </c>
      <c r="B137" s="24" t="s">
        <v>261</v>
      </c>
      <c r="C137" s="10" t="s">
        <v>253</v>
      </c>
      <c r="D137" s="10" t="s">
        <v>257</v>
      </c>
      <c r="E137" s="10" t="s">
        <v>18</v>
      </c>
      <c r="F137" s="10" t="s">
        <v>39</v>
      </c>
      <c r="G137" s="24" t="s">
        <v>262</v>
      </c>
      <c r="H137" s="18" t="s">
        <v>41</v>
      </c>
      <c r="I137" s="29">
        <f>IFERROR(SUMIFS([1]INGRESOS!$N$2:$N$10022,[1]INGRESOS!$D$2:$D$10022,$B137),0)</f>
        <v>0</v>
      </c>
      <c r="J137" s="12">
        <f>IFERROR(SUMIFS([2]SALIDAS!$N$2:$N$10069,[2]SALIDAS!$D$2:$D$10069,$B137),0)</f>
        <v>0</v>
      </c>
      <c r="K137" s="25">
        <f>Tabla2[[#This Row],[INGRESOS]]-Tabla2[[#This Row],[SALIDAS]]</f>
        <v>0</v>
      </c>
      <c r="L137" s="3" t="s">
        <v>14</v>
      </c>
      <c r="M137" s="39" t="s">
        <v>294</v>
      </c>
    </row>
    <row r="138" spans="1:13" x14ac:dyDescent="0.3">
      <c r="A138" s="22">
        <v>129</v>
      </c>
      <c r="B138" s="24" t="s">
        <v>263</v>
      </c>
      <c r="C138" s="10" t="s">
        <v>253</v>
      </c>
      <c r="D138" s="10" t="s">
        <v>264</v>
      </c>
      <c r="E138" s="10" t="s">
        <v>18</v>
      </c>
      <c r="F138" s="10" t="s">
        <v>119</v>
      </c>
      <c r="G138" s="24" t="s">
        <v>68</v>
      </c>
      <c r="H138" s="18" t="s">
        <v>41</v>
      </c>
      <c r="I138" s="29">
        <f>IFERROR(SUMIFS([1]INGRESOS!$N$2:$N$10022,[1]INGRESOS!$D$2:$D$10022,$B138),0)</f>
        <v>0</v>
      </c>
      <c r="J138" s="12">
        <f>IFERROR(SUMIFS([2]SALIDAS!$N$2:$N$10069,[2]SALIDAS!$D$2:$D$10069,$B138),0)</f>
        <v>0</v>
      </c>
      <c r="K138" s="25">
        <f>Tabla2[[#This Row],[INGRESOS]]-Tabla2[[#This Row],[SALIDAS]]</f>
        <v>0</v>
      </c>
      <c r="L138" s="3" t="s">
        <v>14</v>
      </c>
      <c r="M138" s="39" t="s">
        <v>294</v>
      </c>
    </row>
    <row r="139" spans="1:13" x14ac:dyDescent="0.3">
      <c r="A139" s="22">
        <v>130</v>
      </c>
      <c r="B139" s="24" t="s">
        <v>265</v>
      </c>
      <c r="C139" s="10" t="s">
        <v>253</v>
      </c>
      <c r="D139" s="10" t="s">
        <v>266</v>
      </c>
      <c r="E139" s="10" t="s">
        <v>38</v>
      </c>
      <c r="F139" s="10" t="s">
        <v>119</v>
      </c>
      <c r="G139" s="24" t="s">
        <v>267</v>
      </c>
      <c r="H139" s="18" t="s">
        <v>41</v>
      </c>
      <c r="I139" s="29">
        <f>IFERROR(SUMIFS([1]INGRESOS!$N$2:$N$10022,[1]INGRESOS!$D$2:$D$10022,$B139),0)</f>
        <v>0</v>
      </c>
      <c r="J139" s="12">
        <f>IFERROR(SUMIFS([2]SALIDAS!$N$2:$N$10069,[2]SALIDAS!$D$2:$D$10069,$B139),0)</f>
        <v>0</v>
      </c>
      <c r="K139" s="25">
        <f>Tabla2[[#This Row],[INGRESOS]]-Tabla2[[#This Row],[SALIDAS]]</f>
        <v>0</v>
      </c>
      <c r="L139" s="3" t="s">
        <v>14</v>
      </c>
    </row>
    <row r="140" spans="1:13" x14ac:dyDescent="0.3">
      <c r="A140" s="22">
        <v>131</v>
      </c>
      <c r="B140" s="24" t="s">
        <v>268</v>
      </c>
      <c r="C140" s="10" t="s">
        <v>253</v>
      </c>
      <c r="D140" s="10" t="s">
        <v>266</v>
      </c>
      <c r="E140" s="10" t="s">
        <v>38</v>
      </c>
      <c r="F140" s="10" t="s">
        <v>119</v>
      </c>
      <c r="G140" s="24" t="s">
        <v>65</v>
      </c>
      <c r="H140" s="18" t="s">
        <v>41</v>
      </c>
      <c r="I140" s="29">
        <f>IFERROR(SUMIFS([1]INGRESOS!$N$2:$N$10022,[1]INGRESOS!$D$2:$D$10022,$B140),0)</f>
        <v>0</v>
      </c>
      <c r="J140" s="12">
        <f>IFERROR(SUMIFS([2]SALIDAS!$N$2:$N$10069,[2]SALIDAS!$D$2:$D$10069,$B140),0)</f>
        <v>0</v>
      </c>
      <c r="K140" s="25">
        <f>Tabla2[[#This Row],[INGRESOS]]-Tabla2[[#This Row],[SALIDAS]]</f>
        <v>0</v>
      </c>
      <c r="L140" s="3" t="s">
        <v>14</v>
      </c>
      <c r="M140" s="39" t="s">
        <v>294</v>
      </c>
    </row>
    <row r="141" spans="1:13" x14ac:dyDescent="0.3">
      <c r="A141" s="22">
        <v>132</v>
      </c>
      <c r="B141" s="24" t="s">
        <v>269</v>
      </c>
      <c r="C141" s="10" t="s">
        <v>253</v>
      </c>
      <c r="D141" s="10" t="s">
        <v>270</v>
      </c>
      <c r="E141" s="10" t="s">
        <v>38</v>
      </c>
      <c r="F141" s="10" t="s">
        <v>39</v>
      </c>
      <c r="G141" s="24" t="s">
        <v>271</v>
      </c>
      <c r="H141" s="18" t="s">
        <v>41</v>
      </c>
      <c r="I141" s="29">
        <f>IFERROR(SUMIFS([1]INGRESOS!$N$2:$N$10022,[1]INGRESOS!$D$2:$D$10022,$B141),0)</f>
        <v>0</v>
      </c>
      <c r="J141" s="12">
        <f>IFERROR(SUMIFS([2]SALIDAS!$N$2:$N$10069,[2]SALIDAS!$D$2:$D$10069,$B141),0)</f>
        <v>0</v>
      </c>
      <c r="K141" s="25">
        <f>Tabla2[[#This Row],[INGRESOS]]-Tabla2[[#This Row],[SALIDAS]]</f>
        <v>0</v>
      </c>
      <c r="L141" s="3" t="s">
        <v>14</v>
      </c>
    </row>
    <row r="142" spans="1:13" x14ac:dyDescent="0.3">
      <c r="A142" s="22">
        <v>133</v>
      </c>
      <c r="B142" s="24" t="s">
        <v>272</v>
      </c>
      <c r="C142" s="10" t="s">
        <v>253</v>
      </c>
      <c r="D142" s="10" t="s">
        <v>270</v>
      </c>
      <c r="E142" s="10" t="s">
        <v>38</v>
      </c>
      <c r="F142" s="10" t="s">
        <v>39</v>
      </c>
      <c r="G142" s="24" t="s">
        <v>273</v>
      </c>
      <c r="H142" s="18" t="s">
        <v>41</v>
      </c>
      <c r="I142" s="29">
        <f>IFERROR(SUMIFS([1]INGRESOS!$N$2:$N$10022,[1]INGRESOS!$D$2:$D$10022,$B142),0)</f>
        <v>0</v>
      </c>
      <c r="J142" s="12">
        <f>IFERROR(SUMIFS([2]SALIDAS!$N$2:$N$10069,[2]SALIDAS!$D$2:$D$10069,$B142),0)</f>
        <v>0</v>
      </c>
      <c r="K142" s="25">
        <f>Tabla2[[#This Row],[INGRESOS]]-Tabla2[[#This Row],[SALIDAS]]</f>
        <v>0</v>
      </c>
      <c r="L142" s="3" t="s">
        <v>14</v>
      </c>
      <c r="M142" s="39" t="s">
        <v>294</v>
      </c>
    </row>
    <row r="143" spans="1:13" x14ac:dyDescent="0.3">
      <c r="A143" s="22">
        <v>134</v>
      </c>
      <c r="B143" s="24" t="s">
        <v>274</v>
      </c>
      <c r="C143" s="10" t="s">
        <v>253</v>
      </c>
      <c r="D143" s="10" t="s">
        <v>270</v>
      </c>
      <c r="E143" s="10" t="s">
        <v>38</v>
      </c>
      <c r="F143" s="10" t="s">
        <v>39</v>
      </c>
      <c r="G143" s="24" t="s">
        <v>275</v>
      </c>
      <c r="H143" s="18" t="s">
        <v>41</v>
      </c>
      <c r="I143" s="29">
        <f>IFERROR(SUMIFS([1]INGRESOS!$N$2:$N$10022,[1]INGRESOS!$D$2:$D$10022,$B143),0)</f>
        <v>0</v>
      </c>
      <c r="J143" s="12">
        <f>IFERROR(SUMIFS([2]SALIDAS!$N$2:$N$10069,[2]SALIDAS!$D$2:$D$10069,$B143),0)</f>
        <v>0</v>
      </c>
      <c r="K143" s="25">
        <f>Tabla2[[#This Row],[INGRESOS]]-Tabla2[[#This Row],[SALIDAS]]</f>
        <v>0</v>
      </c>
      <c r="L143" s="3" t="s">
        <v>14</v>
      </c>
      <c r="M143" s="39" t="s">
        <v>294</v>
      </c>
    </row>
    <row r="144" spans="1:13" x14ac:dyDescent="0.3">
      <c r="A144" s="22">
        <v>135</v>
      </c>
      <c r="B144" s="24" t="s">
        <v>276</v>
      </c>
      <c r="C144" s="10" t="s">
        <v>253</v>
      </c>
      <c r="D144" s="10" t="s">
        <v>105</v>
      </c>
      <c r="E144" s="10" t="s">
        <v>38</v>
      </c>
      <c r="F144" s="10" t="s">
        <v>39</v>
      </c>
      <c r="G144" s="24" t="s">
        <v>169</v>
      </c>
      <c r="H144" s="18" t="s">
        <v>41</v>
      </c>
      <c r="I144" s="29">
        <f>IFERROR(SUMIFS([1]INGRESOS!$N$2:$N$10022,[1]INGRESOS!$D$2:$D$10022,$B144),0)</f>
        <v>0</v>
      </c>
      <c r="J144" s="12">
        <f>IFERROR(SUMIFS([2]SALIDAS!$N$2:$N$10069,[2]SALIDAS!$D$2:$D$10069,$B144),0)</f>
        <v>0</v>
      </c>
      <c r="K144" s="25">
        <f>Tabla2[[#This Row],[INGRESOS]]-Tabla2[[#This Row],[SALIDAS]]</f>
        <v>0</v>
      </c>
      <c r="L144" s="3" t="s">
        <v>14</v>
      </c>
      <c r="M144" s="39" t="s">
        <v>294</v>
      </c>
    </row>
    <row r="145" spans="1:13" x14ac:dyDescent="0.3">
      <c r="A145" s="22">
        <v>136</v>
      </c>
      <c r="B145" s="24" t="s">
        <v>277</v>
      </c>
      <c r="C145" s="10" t="s">
        <v>253</v>
      </c>
      <c r="D145" s="10" t="s">
        <v>278</v>
      </c>
      <c r="E145" s="10" t="s">
        <v>38</v>
      </c>
      <c r="F145" s="10" t="s">
        <v>119</v>
      </c>
      <c r="G145" s="24" t="s">
        <v>279</v>
      </c>
      <c r="H145" s="18" t="s">
        <v>41</v>
      </c>
      <c r="I145" s="29">
        <f>IFERROR(SUMIFS([1]INGRESOS!$N$2:$N$10022,[1]INGRESOS!$D$2:$D$10022,$B145),0)</f>
        <v>0</v>
      </c>
      <c r="J145" s="12">
        <f>IFERROR(SUMIFS([2]SALIDAS!$N$2:$N$10069,[2]SALIDAS!$D$2:$D$10069,$B145),0)</f>
        <v>0</v>
      </c>
      <c r="K145" s="25">
        <f>Tabla2[[#This Row],[INGRESOS]]-Tabla2[[#This Row],[SALIDAS]]</f>
        <v>0</v>
      </c>
      <c r="L145" s="3" t="s">
        <v>14</v>
      </c>
      <c r="M145" s="39" t="s">
        <v>294</v>
      </c>
    </row>
    <row r="146" spans="1:13" x14ac:dyDescent="0.3">
      <c r="A146" s="22">
        <v>137</v>
      </c>
      <c r="B146" s="24" t="s">
        <v>280</v>
      </c>
      <c r="C146" s="10" t="s">
        <v>253</v>
      </c>
      <c r="D146" s="10" t="s">
        <v>281</v>
      </c>
      <c r="E146" s="10" t="s">
        <v>18</v>
      </c>
      <c r="F146" s="10" t="s">
        <v>119</v>
      </c>
      <c r="G146" s="24" t="s">
        <v>68</v>
      </c>
      <c r="H146" s="18" t="s">
        <v>41</v>
      </c>
      <c r="I146" s="29">
        <f>IFERROR(SUMIFS([1]INGRESOS!$N$2:$N$10022,[1]INGRESOS!$D$2:$D$10022,$B146),0)</f>
        <v>0</v>
      </c>
      <c r="J146" s="12">
        <f>IFERROR(SUMIFS([2]SALIDAS!$N$2:$N$10069,[2]SALIDAS!$D$2:$D$10069,$B146),0)</f>
        <v>0</v>
      </c>
      <c r="K146" s="25">
        <f>Tabla2[[#This Row],[INGRESOS]]-Tabla2[[#This Row],[SALIDAS]]</f>
        <v>0</v>
      </c>
      <c r="L146" s="3" t="s">
        <v>14</v>
      </c>
      <c r="M146" s="39" t="s">
        <v>294</v>
      </c>
    </row>
    <row r="147" spans="1:13" x14ac:dyDescent="0.3">
      <c r="A147" s="22">
        <v>138</v>
      </c>
      <c r="B147" s="24" t="s">
        <v>282</v>
      </c>
      <c r="C147" s="10" t="s">
        <v>283</v>
      </c>
      <c r="D147" s="10" t="s">
        <v>113</v>
      </c>
      <c r="E147" s="10" t="s">
        <v>18</v>
      </c>
      <c r="F147" s="10" t="s">
        <v>39</v>
      </c>
      <c r="G147" s="24" t="s">
        <v>68</v>
      </c>
      <c r="H147" s="18" t="s">
        <v>41</v>
      </c>
      <c r="I147" s="29">
        <f>IFERROR(SUMIFS([1]INGRESOS!$N$2:$N$10022,[1]INGRESOS!$D$2:$D$10022,$B147),0)</f>
        <v>0</v>
      </c>
      <c r="J147" s="12">
        <f>IFERROR(SUMIFS([2]SALIDAS!$N$2:$N$10069,[2]SALIDAS!$D$2:$D$10069,$B147),0)</f>
        <v>0</v>
      </c>
      <c r="K147" s="25">
        <f>Tabla2[[#This Row],[INGRESOS]]-Tabla2[[#This Row],[SALIDAS]]</f>
        <v>0</v>
      </c>
      <c r="L147" s="3" t="s">
        <v>14</v>
      </c>
    </row>
    <row r="148" spans="1:13" x14ac:dyDescent="0.3">
      <c r="A148" s="22">
        <v>139</v>
      </c>
      <c r="B148" s="24" t="s">
        <v>284</v>
      </c>
      <c r="C148" s="10" t="s">
        <v>285</v>
      </c>
      <c r="D148" s="10" t="s">
        <v>286</v>
      </c>
      <c r="E148" s="10" t="s">
        <v>18</v>
      </c>
      <c r="F148" s="10" t="s">
        <v>287</v>
      </c>
      <c r="G148" s="24" t="s">
        <v>288</v>
      </c>
      <c r="H148" s="18" t="s">
        <v>41</v>
      </c>
      <c r="I148" s="29">
        <f>IFERROR(SUMIFS([1]INGRESOS!$N$2:$N$10022,[1]INGRESOS!$D$2:$D$10022,$B148),0)</f>
        <v>0</v>
      </c>
      <c r="J148" s="12">
        <f>IFERROR(SUMIFS([2]SALIDAS!$N$2:$N$10069,[2]SALIDAS!$D$2:$D$10069,$B148),0)</f>
        <v>0</v>
      </c>
      <c r="K148" s="25">
        <f>Tabla2[[#This Row],[INGRESOS]]-Tabla2[[#This Row],[SALIDAS]]</f>
        <v>0</v>
      </c>
      <c r="L148" s="3" t="s">
        <v>14</v>
      </c>
      <c r="M148" s="7" t="s">
        <v>300</v>
      </c>
    </row>
    <row r="149" spans="1:13" x14ac:dyDescent="0.3">
      <c r="A149" s="22">
        <v>140</v>
      </c>
      <c r="B149" s="24" t="s">
        <v>289</v>
      </c>
      <c r="C149" s="10" t="s">
        <v>285</v>
      </c>
      <c r="D149" s="10" t="s">
        <v>286</v>
      </c>
      <c r="E149" s="10" t="s">
        <v>18</v>
      </c>
      <c r="F149" s="10" t="s">
        <v>287</v>
      </c>
      <c r="G149" s="24" t="s">
        <v>290</v>
      </c>
      <c r="H149" s="18" t="s">
        <v>41</v>
      </c>
      <c r="I149" s="29">
        <f>IFERROR(SUMIFS([1]INGRESOS!$N$2:$N$10022,[1]INGRESOS!$D$2:$D$10022,$B149),0)</f>
        <v>0</v>
      </c>
      <c r="J149" s="12">
        <f>IFERROR(SUMIFS([2]SALIDAS!$N$2:$N$10069,[2]SALIDAS!$D$2:$D$10069,$B149),0)</f>
        <v>0</v>
      </c>
      <c r="K149" s="25">
        <f>Tabla2[[#This Row],[INGRESOS]]-Tabla2[[#This Row],[SALIDAS]]</f>
        <v>0</v>
      </c>
      <c r="L149" s="3" t="s">
        <v>14</v>
      </c>
      <c r="M149" s="7" t="s">
        <v>300</v>
      </c>
    </row>
    <row r="153" spans="1:13" x14ac:dyDescent="0.3">
      <c r="G153" s="15" t="s">
        <v>1</v>
      </c>
      <c r="I153" s="7" t="s">
        <v>1</v>
      </c>
    </row>
    <row r="154" spans="1:13" x14ac:dyDescent="0.3">
      <c r="G154" s="15" t="s">
        <v>1</v>
      </c>
      <c r="I154" s="7" t="s">
        <v>1</v>
      </c>
    </row>
  </sheetData>
  <mergeCells count="1">
    <mergeCell ref="H4:K4"/>
  </mergeCells>
  <conditionalFormatting sqref="K6:K149">
    <cfRule type="cellIs" dxfId="0" priority="1" operator="between">
      <formula>1</formula>
      <formula>50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Armando lagos</cp:lastModifiedBy>
  <cp:revision/>
  <dcterms:created xsi:type="dcterms:W3CDTF">2025-12-25T20:04:10Z</dcterms:created>
  <dcterms:modified xsi:type="dcterms:W3CDTF">2026-03-10T13:17:51Z</dcterms:modified>
  <cp:category/>
  <cp:contentStatus/>
</cp:coreProperties>
</file>